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kr71\Downloads\IIP\"/>
    </mc:Choice>
  </mc:AlternateContent>
  <xr:revisionPtr revIDLastSave="0" documentId="13_ncr:1_{E0EB1BEA-8C53-43CC-A4FF-079BA99A47F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aw Data" sheetId="2" r:id="rId1"/>
    <sheet name="Financial Modeling 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53" i="1" l="1"/>
  <c r="M54" i="1" s="1"/>
  <c r="M55" i="1" s="1"/>
  <c r="M56" i="1" s="1"/>
  <c r="M57" i="1" s="1"/>
  <c r="L53" i="1"/>
  <c r="L54" i="1" s="1"/>
  <c r="L55" i="1" s="1"/>
  <c r="L56" i="1" s="1"/>
  <c r="L57" i="1" s="1"/>
  <c r="K53" i="1"/>
  <c r="K54" i="1" s="1"/>
  <c r="K55" i="1" s="1"/>
  <c r="K56" i="1" s="1"/>
  <c r="K57" i="1" s="1"/>
  <c r="J53" i="1"/>
  <c r="J54" i="1" s="1"/>
  <c r="J55" i="1" s="1"/>
  <c r="J56" i="1" s="1"/>
  <c r="J57" i="1" s="1"/>
  <c r="I53" i="1"/>
  <c r="I54" i="1" s="1"/>
  <c r="I55" i="1" s="1"/>
  <c r="I56" i="1" s="1"/>
  <c r="I57" i="1" s="1"/>
  <c r="H53" i="1"/>
  <c r="H54" i="1" s="1"/>
  <c r="H55" i="1" s="1"/>
  <c r="H56" i="1" s="1"/>
  <c r="H57" i="1" s="1"/>
  <c r="F53" i="1"/>
  <c r="G53" i="1" s="1"/>
  <c r="D53" i="1"/>
  <c r="E53" i="1" s="1"/>
  <c r="C53" i="1"/>
  <c r="C54" i="1" s="1"/>
  <c r="C55" i="1" s="1"/>
  <c r="C56" i="1" s="1"/>
  <c r="C57" i="1" s="1"/>
  <c r="F44" i="1"/>
  <c r="F45" i="1" s="1"/>
  <c r="K43" i="1"/>
  <c r="K44" i="1" s="1"/>
  <c r="K45" i="1" s="1"/>
  <c r="K46" i="1" s="1"/>
  <c r="I43" i="1"/>
  <c r="I44" i="1" s="1"/>
  <c r="I45" i="1" s="1"/>
  <c r="I46" i="1" s="1"/>
  <c r="F43" i="1"/>
  <c r="M42" i="1"/>
  <c r="M43" i="1" s="1"/>
  <c r="M44" i="1" s="1"/>
  <c r="M45" i="1" s="1"/>
  <c r="M46" i="1" s="1"/>
  <c r="L42" i="1"/>
  <c r="L43" i="1" s="1"/>
  <c r="L44" i="1" s="1"/>
  <c r="L45" i="1" s="1"/>
  <c r="L46" i="1" s="1"/>
  <c r="K42" i="1"/>
  <c r="J42" i="1"/>
  <c r="J43" i="1" s="1"/>
  <c r="J44" i="1" s="1"/>
  <c r="J45" i="1" s="1"/>
  <c r="J46" i="1" s="1"/>
  <c r="I42" i="1"/>
  <c r="H42" i="1"/>
  <c r="H43" i="1" s="1"/>
  <c r="H44" i="1" s="1"/>
  <c r="H45" i="1" s="1"/>
  <c r="H46" i="1" s="1"/>
  <c r="F42" i="1"/>
  <c r="G42" i="1" s="1"/>
  <c r="D42" i="1"/>
  <c r="D43" i="1" s="1"/>
  <c r="C42" i="1"/>
  <c r="C43" i="1" s="1"/>
  <c r="C44" i="1" s="1"/>
  <c r="C45" i="1" s="1"/>
  <c r="C46" i="1" s="1"/>
  <c r="L32" i="1"/>
  <c r="L33" i="1" s="1"/>
  <c r="L34" i="1" s="1"/>
  <c r="L35" i="1" s="1"/>
  <c r="H32" i="1"/>
  <c r="H33" i="1" s="1"/>
  <c r="H34" i="1" s="1"/>
  <c r="H35" i="1" s="1"/>
  <c r="F32" i="1"/>
  <c r="D32" i="1"/>
  <c r="E32" i="1" s="1"/>
  <c r="M31" i="1"/>
  <c r="M32" i="1" s="1"/>
  <c r="M33" i="1" s="1"/>
  <c r="M34" i="1" s="1"/>
  <c r="M35" i="1" s="1"/>
  <c r="L31" i="1"/>
  <c r="K31" i="1"/>
  <c r="K32" i="1" s="1"/>
  <c r="K33" i="1" s="1"/>
  <c r="K34" i="1" s="1"/>
  <c r="K35" i="1" s="1"/>
  <c r="J31" i="1"/>
  <c r="J32" i="1" s="1"/>
  <c r="J33" i="1" s="1"/>
  <c r="J34" i="1" s="1"/>
  <c r="J35" i="1" s="1"/>
  <c r="I31" i="1"/>
  <c r="I32" i="1" s="1"/>
  <c r="I33" i="1" s="1"/>
  <c r="I34" i="1" s="1"/>
  <c r="I35" i="1" s="1"/>
  <c r="H31" i="1"/>
  <c r="G31" i="1"/>
  <c r="F31" i="1"/>
  <c r="E31" i="1"/>
  <c r="D31" i="1"/>
  <c r="C31" i="1"/>
  <c r="C32" i="1" s="1"/>
  <c r="C33" i="1" s="1"/>
  <c r="C34" i="1" s="1"/>
  <c r="C35" i="1" s="1"/>
  <c r="I23" i="1"/>
  <c r="I24" i="1" s="1"/>
  <c r="I22" i="1"/>
  <c r="H22" i="1"/>
  <c r="H23" i="1" s="1"/>
  <c r="H24" i="1" s="1"/>
  <c r="M21" i="1"/>
  <c r="M22" i="1" s="1"/>
  <c r="M23" i="1" s="1"/>
  <c r="M24" i="1" s="1"/>
  <c r="K21" i="1"/>
  <c r="K22" i="1" s="1"/>
  <c r="K23" i="1" s="1"/>
  <c r="K24" i="1" s="1"/>
  <c r="I21" i="1"/>
  <c r="H21" i="1"/>
  <c r="C21" i="1"/>
  <c r="C22" i="1" s="1"/>
  <c r="C23" i="1" s="1"/>
  <c r="C24" i="1" s="1"/>
  <c r="M20" i="1"/>
  <c r="L20" i="1"/>
  <c r="L21" i="1" s="1"/>
  <c r="L22" i="1" s="1"/>
  <c r="L23" i="1" s="1"/>
  <c r="L24" i="1" s="1"/>
  <c r="K20" i="1"/>
  <c r="J20" i="1"/>
  <c r="J21" i="1" s="1"/>
  <c r="J22" i="1" s="1"/>
  <c r="J23" i="1" s="1"/>
  <c r="J24" i="1" s="1"/>
  <c r="I20" i="1"/>
  <c r="H20" i="1"/>
  <c r="F20" i="1"/>
  <c r="F21" i="1" s="1"/>
  <c r="E20" i="1"/>
  <c r="D20" i="1"/>
  <c r="D21" i="1" s="1"/>
  <c r="C20" i="1"/>
  <c r="D12" i="1"/>
  <c r="D13" i="1" s="1"/>
  <c r="D11" i="1"/>
  <c r="E11" i="1" s="1"/>
  <c r="C11" i="1"/>
  <c r="C12" i="1" s="1"/>
  <c r="C13" i="1" s="1"/>
  <c r="J10" i="1"/>
  <c r="J11" i="1" s="1"/>
  <c r="J12" i="1" s="1"/>
  <c r="J13" i="1" s="1"/>
  <c r="H10" i="1"/>
  <c r="H11" i="1" s="1"/>
  <c r="H12" i="1" s="1"/>
  <c r="H13" i="1" s="1"/>
  <c r="F10" i="1"/>
  <c r="G10" i="1" s="1"/>
  <c r="D10" i="1"/>
  <c r="E10" i="1" s="1"/>
  <c r="C10" i="1"/>
  <c r="M9" i="1"/>
  <c r="M10" i="1" s="1"/>
  <c r="M11" i="1" s="1"/>
  <c r="M12" i="1" s="1"/>
  <c r="M13" i="1" s="1"/>
  <c r="L9" i="1"/>
  <c r="L10" i="1" s="1"/>
  <c r="L11" i="1" s="1"/>
  <c r="L12" i="1" s="1"/>
  <c r="L13" i="1" s="1"/>
  <c r="K9" i="1"/>
  <c r="K10" i="1" s="1"/>
  <c r="K11" i="1" s="1"/>
  <c r="K12" i="1" s="1"/>
  <c r="K13" i="1" s="1"/>
  <c r="J9" i="1"/>
  <c r="I9" i="1"/>
  <c r="I10" i="1" s="1"/>
  <c r="I11" i="1" s="1"/>
  <c r="I12" i="1" s="1"/>
  <c r="I13" i="1" s="1"/>
  <c r="H9" i="1"/>
  <c r="G9" i="1"/>
  <c r="F9" i="1"/>
  <c r="D9" i="1"/>
  <c r="C9" i="1"/>
  <c r="E9" i="1" s="1"/>
  <c r="D44" i="1" l="1"/>
  <c r="E43" i="1"/>
  <c r="E13" i="1"/>
  <c r="F22" i="1"/>
  <c r="G21" i="1"/>
  <c r="F46" i="1"/>
  <c r="G46" i="1" s="1"/>
  <c r="G45" i="1"/>
  <c r="E21" i="1"/>
  <c r="D22" i="1"/>
  <c r="G32" i="1"/>
  <c r="G43" i="1"/>
  <c r="F11" i="1"/>
  <c r="D33" i="1"/>
  <c r="E42" i="1"/>
  <c r="G44" i="1"/>
  <c r="G20" i="1"/>
  <c r="F33" i="1"/>
  <c r="D54" i="1"/>
  <c r="F54" i="1"/>
  <c r="E12" i="1"/>
  <c r="E22" i="1" l="1"/>
  <c r="D23" i="1"/>
  <c r="F12" i="1"/>
  <c r="G11" i="1"/>
  <c r="G54" i="1"/>
  <c r="F55" i="1"/>
  <c r="G33" i="1"/>
  <c r="F34" i="1"/>
  <c r="G22" i="1"/>
  <c r="F23" i="1"/>
  <c r="E54" i="1"/>
  <c r="D55" i="1"/>
  <c r="E33" i="1"/>
  <c r="D34" i="1"/>
  <c r="E44" i="1"/>
  <c r="D45" i="1"/>
  <c r="E55" i="1" l="1"/>
  <c r="D56" i="1"/>
  <c r="G34" i="1"/>
  <c r="F35" i="1"/>
  <c r="G35" i="1" s="1"/>
  <c r="E45" i="1"/>
  <c r="D46" i="1"/>
  <c r="E46" i="1" s="1"/>
  <c r="G23" i="1"/>
  <c r="F24" i="1"/>
  <c r="G24" i="1" s="1"/>
  <c r="G55" i="1"/>
  <c r="F56" i="1"/>
  <c r="F13" i="1"/>
  <c r="G13" i="1" s="1"/>
  <c r="G12" i="1"/>
  <c r="D35" i="1"/>
  <c r="E35" i="1" s="1"/>
  <c r="E34" i="1"/>
  <c r="D24" i="1"/>
  <c r="E24" i="1" s="1"/>
  <c r="E23" i="1"/>
  <c r="G56" i="1" l="1"/>
  <c r="F57" i="1"/>
  <c r="G57" i="1" s="1"/>
  <c r="E56" i="1"/>
  <c r="D57" i="1"/>
  <c r="E57" i="1" s="1"/>
</calcChain>
</file>

<file path=xl/sharedStrings.xml><?xml version="1.0" encoding="utf-8"?>
<sst xmlns="http://schemas.openxmlformats.org/spreadsheetml/2006/main" count="187" uniqueCount="39">
  <si>
    <t>Company</t>
  </si>
  <si>
    <t>Financial Year</t>
  </si>
  <si>
    <t>Revenue (Turnover)</t>
  </si>
  <si>
    <t>EBITDA</t>
  </si>
  <si>
    <t>EBITDA %</t>
  </si>
  <si>
    <t>PAT</t>
  </si>
  <si>
    <t>PAT %</t>
  </si>
  <si>
    <t>Cash Profit</t>
  </si>
  <si>
    <t>Gross Block</t>
  </si>
  <si>
    <t>Debt-Equity Ratio</t>
  </si>
  <si>
    <t>Book Value/Share (₹)</t>
  </si>
  <si>
    <t>Basic EPS (₹)</t>
  </si>
  <si>
    <t>Order Book</t>
  </si>
  <si>
    <t>Revenue Growth</t>
  </si>
  <si>
    <t>EBITDA Growth</t>
  </si>
  <si>
    <t>PAT Growth</t>
  </si>
  <si>
    <t>Cash Profit Growth</t>
  </si>
  <si>
    <t>Gross Block Growth</t>
  </si>
  <si>
    <t>Debt Growth</t>
  </si>
  <si>
    <t>Book Value Growth</t>
  </si>
  <si>
    <t>EPS Growth</t>
  </si>
  <si>
    <t>Order Book Growth</t>
  </si>
  <si>
    <t>L&amp;T</t>
  </si>
  <si>
    <t>FY2020-21</t>
  </si>
  <si>
    <t>FY2021-22</t>
  </si>
  <si>
    <t>NCC Ltd</t>
  </si>
  <si>
    <t>FY2022-23</t>
  </si>
  <si>
    <t>KNR Constructions</t>
  </si>
  <si>
    <t>FY2023-24</t>
  </si>
  <si>
    <t>IRB Infrastructure</t>
  </si>
  <si>
    <t>FY2024-25</t>
  </si>
  <si>
    <t>HG Infra Engineering</t>
  </si>
  <si>
    <t>FY2025-26</t>
  </si>
  <si>
    <t>FY2026-27</t>
  </si>
  <si>
    <t>Note: company-specific growth = trailing 5-yr historical CAGR (FY2020-21 to FY2025-26) per metric, replacing the single flat assumption used previously.</t>
  </si>
  <si>
    <t>FY2027-28</t>
  </si>
  <si>
    <t>FY2028-29</t>
  </si>
  <si>
    <t>FY2029-30</t>
  </si>
  <si>
    <t>FY2030-31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</si>
</sst>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₹-4009]\ #,##0.00"/>
    <numFmt numFmtId="165" formatCode="[$₹-44B]#,##0.00"/>
    <numFmt numFmtId="166" formatCode="0.0"/>
  </numFmts>
  <fonts count="5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87182226020086"/>
        <bgColor rgb="FFCCCCF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CCCCFF"/>
      </patternFill>
    </fill>
  </fills>
  <borders count="11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/>
  </cellStyleXfs>
  <cellXfs count="4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64" fontId="0" fillId="0" borderId="4" xfId="0" applyNumberFormat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 wrapText="1"/>
    </xf>
    <xf numFmtId="165" fontId="0" fillId="0" borderId="4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9" fontId="0" fillId="0" borderId="4" xfId="0" applyNumberFormat="1" applyBorder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164" fontId="0" fillId="2" borderId="4" xfId="0" applyNumberFormat="1" applyFill="1" applyBorder="1" applyAlignment="1">
      <alignment horizontal="center" vertical="center" wrapText="1"/>
    </xf>
    <xf numFmtId="10" fontId="2" fillId="2" borderId="4" xfId="1" applyNumberFormat="1" applyFill="1" applyBorder="1" applyAlignment="1">
      <alignment horizontal="center" vertical="center" wrapText="1"/>
    </xf>
    <xf numFmtId="165" fontId="0" fillId="2" borderId="4" xfId="0" applyNumberFormat="1" applyFill="1" applyBorder="1" applyAlignment="1">
      <alignment horizontal="center" vertical="center" wrapText="1"/>
    </xf>
    <xf numFmtId="2" fontId="0" fillId="2" borderId="4" xfId="0" applyNumberFormat="1" applyFill="1" applyBorder="1" applyAlignment="1">
      <alignment horizontal="center" vertical="center" wrapText="1"/>
    </xf>
    <xf numFmtId="1" fontId="0" fillId="2" borderId="4" xfId="0" applyNumberFormat="1" applyFill="1" applyBorder="1" applyAlignment="1">
      <alignment horizontal="center" vertical="center" wrapText="1"/>
    </xf>
    <xf numFmtId="166" fontId="0" fillId="2" borderId="4" xfId="0" applyNumberFormat="1" applyFill="1" applyBorder="1" applyAlignment="1">
      <alignment horizontal="center" vertical="center" wrapText="1"/>
    </xf>
    <xf numFmtId="1" fontId="0" fillId="2" borderId="6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64" fontId="0" fillId="2" borderId="8" xfId="0" applyNumberFormat="1" applyFill="1" applyBorder="1" applyAlignment="1">
      <alignment horizontal="center" vertical="center" wrapText="1"/>
    </xf>
    <xf numFmtId="10" fontId="2" fillId="2" borderId="8" xfId="1" applyNumberFormat="1" applyFill="1" applyBorder="1" applyAlignment="1">
      <alignment horizontal="center" vertical="center" wrapText="1"/>
    </xf>
    <xf numFmtId="165" fontId="0" fillId="2" borderId="8" xfId="0" applyNumberFormat="1" applyFill="1" applyBorder="1" applyAlignment="1">
      <alignment horizontal="center" vertical="center" wrapText="1"/>
    </xf>
    <xf numFmtId="2" fontId="0" fillId="2" borderId="8" xfId="0" applyNumberFormat="1" applyFill="1" applyBorder="1" applyAlignment="1">
      <alignment horizontal="center" vertical="center" wrapText="1"/>
    </xf>
    <xf numFmtId="1" fontId="0" fillId="2" borderId="8" xfId="0" applyNumberFormat="1" applyFill="1" applyBorder="1" applyAlignment="1">
      <alignment horizontal="center" vertical="center" wrapText="1"/>
    </xf>
    <xf numFmtId="166" fontId="0" fillId="2" borderId="8" xfId="0" applyNumberFormat="1" applyFill="1" applyBorder="1" applyAlignment="1">
      <alignment horizontal="center" vertical="center" wrapText="1"/>
    </xf>
    <xf numFmtId="1" fontId="0" fillId="2" borderId="9" xfId="0" applyNumberFormat="1" applyFill="1" applyBorder="1" applyAlignment="1">
      <alignment horizontal="center" vertical="center" wrapText="1"/>
    </xf>
    <xf numFmtId="0" fontId="0" fillId="0" borderId="4" xfId="0" applyBorder="1"/>
    <xf numFmtId="0" fontId="1" fillId="3" borderId="7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9" fontId="0" fillId="0" borderId="2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9" fontId="0" fillId="0" borderId="10" xfId="0" applyNumberFormat="1" applyBorder="1" applyAlignment="1">
      <alignment horizontal="center" vertical="center" wrapText="1"/>
    </xf>
    <xf numFmtId="10" fontId="2" fillId="0" borderId="4" xfId="1" applyNumberFormat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17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3" displayName="Table13" ref="A2:M57" totalsRowShown="0" headerRowDxfId="16" headerRowBorderDxfId="15" tableBorderDxfId="14" totalsRowBorderDxfId="13">
  <autoFilter ref="A2:M57" xr:uid="{00000000-0009-0000-0100-000001000000}"/>
  <tableColumns count="13">
    <tableColumn id="1" xr3:uid="{00000000-0010-0000-0000-000001000000}" name="Company" dataDxfId="12"/>
    <tableColumn id="2" xr3:uid="{00000000-0010-0000-0000-000002000000}" name="Financial Year" dataDxfId="11"/>
    <tableColumn id="3" xr3:uid="{00000000-0010-0000-0000-000003000000}" name="Revenue (Turnover)" dataDxfId="10"/>
    <tableColumn id="4" xr3:uid="{00000000-0010-0000-0000-000004000000}" name="EBITDA" dataDxfId="9"/>
    <tableColumn id="5" xr3:uid="{00000000-0010-0000-0000-000005000000}" name="EBITDA %" dataDxfId="8"/>
    <tableColumn id="6" xr3:uid="{00000000-0010-0000-0000-000006000000}" name="PAT" dataDxfId="7"/>
    <tableColumn id="7" xr3:uid="{00000000-0010-0000-0000-000007000000}" name="PAT %" dataDxfId="6"/>
    <tableColumn id="8" xr3:uid="{00000000-0010-0000-0000-000008000000}" name="Cash Profit" dataDxfId="5"/>
    <tableColumn id="9" xr3:uid="{00000000-0010-0000-0000-000009000000}" name="Gross Block" dataDxfId="4"/>
    <tableColumn id="10" xr3:uid="{00000000-0010-0000-0000-00000A000000}" name="Debt-Equity Ratio" dataDxfId="3"/>
    <tableColumn id="11" xr3:uid="{00000000-0010-0000-0000-00000B000000}" name="Book Value/Share (₹)" dataDxfId="2"/>
    <tableColumn id="12" xr3:uid="{00000000-0010-0000-0000-00000C000000}" name="Basic EPS (₹)" dataDxfId="1"/>
    <tableColumn id="13" xr3:uid="{00000000-0010-0000-0000-00000D000000}" name="Order Book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B2693-A473-4348-8512-108222EED59D}">
  <dimension ref="A2:M32"/>
  <sheetViews>
    <sheetView tabSelected="1" workbookViewId="0">
      <selection activeCell="N12" sqref="N12"/>
    </sheetView>
  </sheetViews>
  <sheetFormatPr defaultColWidth="24" defaultRowHeight="14.4" x14ac:dyDescent="0.3"/>
  <cols>
    <col min="1" max="1" width="18.44140625" bestFit="1" customWidth="1"/>
    <col min="2" max="2" width="12.44140625" bestFit="1" customWidth="1"/>
    <col min="3" max="3" width="18" bestFit="1" customWidth="1"/>
    <col min="4" max="4" width="10.44140625" bestFit="1" customWidth="1"/>
    <col min="5" max="5" width="9" bestFit="1" customWidth="1"/>
    <col min="6" max="6" width="6" bestFit="1" customWidth="1"/>
    <col min="7" max="7" width="6.21875" bestFit="1" customWidth="1"/>
    <col min="8" max="8" width="10.109375" bestFit="1" customWidth="1"/>
    <col min="9" max="9" width="10.5546875" bestFit="1" customWidth="1"/>
    <col min="10" max="10" width="15.88671875" bestFit="1" customWidth="1"/>
    <col min="11" max="11" width="19.21875" bestFit="1" customWidth="1"/>
    <col min="12" max="12" width="11.5546875" bestFit="1" customWidth="1"/>
    <col min="13" max="13" width="10.5546875" bestFit="1" customWidth="1"/>
  </cols>
  <sheetData>
    <row r="2" spans="1:13" ht="28.8" x14ac:dyDescent="0.3">
      <c r="A2" s="41" t="s">
        <v>0</v>
      </c>
      <c r="B2" s="41" t="s">
        <v>1</v>
      </c>
      <c r="C2" s="41" t="s">
        <v>2</v>
      </c>
      <c r="D2" s="41" t="s">
        <v>3</v>
      </c>
      <c r="E2" s="41" t="s">
        <v>4</v>
      </c>
      <c r="F2" s="41" t="s">
        <v>5</v>
      </c>
      <c r="G2" s="41" t="s">
        <v>6</v>
      </c>
      <c r="H2" s="41" t="s">
        <v>7</v>
      </c>
      <c r="I2" s="41" t="s">
        <v>8</v>
      </c>
      <c r="J2" s="41" t="s">
        <v>9</v>
      </c>
      <c r="K2" s="41" t="s">
        <v>10</v>
      </c>
      <c r="L2" s="41" t="s">
        <v>11</v>
      </c>
      <c r="M2" s="41" t="s">
        <v>12</v>
      </c>
    </row>
    <row r="3" spans="1:13" x14ac:dyDescent="0.3">
      <c r="A3" s="42" t="s">
        <v>22</v>
      </c>
      <c r="B3" s="5" t="s">
        <v>23</v>
      </c>
      <c r="C3" s="6">
        <v>148000</v>
      </c>
      <c r="D3" s="6">
        <v>16872</v>
      </c>
      <c r="E3" s="7">
        <v>11.4</v>
      </c>
      <c r="F3" s="5">
        <v>9650</v>
      </c>
      <c r="G3" s="7">
        <v>6.52</v>
      </c>
      <c r="H3" s="5">
        <v>12340</v>
      </c>
      <c r="I3" s="5">
        <v>68200</v>
      </c>
      <c r="J3" s="7">
        <v>1.1200000000000001</v>
      </c>
      <c r="K3" s="5">
        <v>512</v>
      </c>
      <c r="L3" s="5">
        <v>69.2</v>
      </c>
      <c r="M3" s="5">
        <v>325000</v>
      </c>
    </row>
    <row r="4" spans="1:13" x14ac:dyDescent="0.3">
      <c r="A4" s="42"/>
      <c r="B4" s="5" t="s">
        <v>24</v>
      </c>
      <c r="C4" s="6">
        <v>163500</v>
      </c>
      <c r="D4" s="6">
        <v>18966</v>
      </c>
      <c r="E4" s="7">
        <v>11.6</v>
      </c>
      <c r="F4" s="5">
        <v>10820</v>
      </c>
      <c r="G4" s="7">
        <v>6.62</v>
      </c>
      <c r="H4" s="5">
        <v>13650</v>
      </c>
      <c r="I4" s="5">
        <v>70500</v>
      </c>
      <c r="J4" s="7">
        <v>1.08</v>
      </c>
      <c r="K4" s="5">
        <v>545</v>
      </c>
      <c r="L4" s="5">
        <v>77.099999999999994</v>
      </c>
      <c r="M4" s="5">
        <v>345000</v>
      </c>
    </row>
    <row r="5" spans="1:13" x14ac:dyDescent="0.3">
      <c r="A5" s="42"/>
      <c r="B5" s="5" t="s">
        <v>26</v>
      </c>
      <c r="C5" s="6">
        <v>182800</v>
      </c>
      <c r="D5" s="6">
        <v>21410</v>
      </c>
      <c r="E5" s="7">
        <v>11.71</v>
      </c>
      <c r="F5" s="5">
        <v>12340</v>
      </c>
      <c r="G5" s="7">
        <v>6.75</v>
      </c>
      <c r="H5" s="5">
        <v>15120</v>
      </c>
      <c r="I5" s="5">
        <v>73600</v>
      </c>
      <c r="J5" s="7">
        <v>1.02</v>
      </c>
      <c r="K5" s="5">
        <v>586</v>
      </c>
      <c r="L5" s="5">
        <v>88.2</v>
      </c>
      <c r="M5" s="5">
        <v>372000</v>
      </c>
    </row>
    <row r="6" spans="1:13" x14ac:dyDescent="0.3">
      <c r="A6" s="42"/>
      <c r="B6" s="5" t="s">
        <v>28</v>
      </c>
      <c r="C6" s="6">
        <v>208400</v>
      </c>
      <c r="D6" s="6">
        <v>24800</v>
      </c>
      <c r="E6" s="7">
        <v>11.9</v>
      </c>
      <c r="F6" s="5">
        <v>14580</v>
      </c>
      <c r="G6" s="7">
        <v>7</v>
      </c>
      <c r="H6" s="5">
        <v>17420</v>
      </c>
      <c r="I6" s="5">
        <v>77100</v>
      </c>
      <c r="J6" s="7">
        <v>0.98</v>
      </c>
      <c r="K6" s="5">
        <v>628</v>
      </c>
      <c r="L6" s="5">
        <v>104.3</v>
      </c>
      <c r="M6" s="5">
        <v>408000</v>
      </c>
    </row>
    <row r="7" spans="1:13" x14ac:dyDescent="0.3">
      <c r="A7" s="42"/>
      <c r="B7" s="5" t="s">
        <v>30</v>
      </c>
      <c r="C7" s="6">
        <v>234700</v>
      </c>
      <c r="D7" s="6">
        <v>28270</v>
      </c>
      <c r="E7" s="7">
        <v>12.04</v>
      </c>
      <c r="F7" s="5">
        <v>16890</v>
      </c>
      <c r="G7" s="7">
        <v>7.2</v>
      </c>
      <c r="H7" s="5">
        <v>19860</v>
      </c>
      <c r="I7" s="5">
        <v>80900</v>
      </c>
      <c r="J7" s="7">
        <v>0.95</v>
      </c>
      <c r="K7" s="5">
        <v>675</v>
      </c>
      <c r="L7" s="5">
        <v>120.7</v>
      </c>
      <c r="M7" s="5">
        <v>446000</v>
      </c>
    </row>
    <row r="8" spans="1:13" x14ac:dyDescent="0.3">
      <c r="A8" s="42"/>
      <c r="B8" s="5" t="s">
        <v>32</v>
      </c>
      <c r="C8" s="6">
        <v>261900</v>
      </c>
      <c r="D8" s="6">
        <v>31950</v>
      </c>
      <c r="E8" s="7">
        <v>12.2</v>
      </c>
      <c r="F8" s="5">
        <v>19280</v>
      </c>
      <c r="G8" s="7">
        <v>7.36</v>
      </c>
      <c r="H8" s="5">
        <v>22480</v>
      </c>
      <c r="I8" s="5">
        <v>85200</v>
      </c>
      <c r="J8" s="7">
        <v>0.92</v>
      </c>
      <c r="K8" s="5">
        <v>724</v>
      </c>
      <c r="L8" s="5">
        <v>137.80000000000001</v>
      </c>
      <c r="M8" s="5">
        <v>485000</v>
      </c>
    </row>
    <row r="9" spans="1:13" x14ac:dyDescent="0.3">
      <c r="A9" s="42" t="s">
        <v>25</v>
      </c>
      <c r="B9" s="5" t="s">
        <v>23</v>
      </c>
      <c r="C9" s="6">
        <v>8900</v>
      </c>
      <c r="D9" s="6">
        <v>890</v>
      </c>
      <c r="E9" s="7">
        <v>10</v>
      </c>
      <c r="F9" s="5">
        <v>360</v>
      </c>
      <c r="G9" s="7">
        <v>4.04</v>
      </c>
      <c r="H9" s="5">
        <v>520</v>
      </c>
      <c r="I9" s="5">
        <v>2750</v>
      </c>
      <c r="J9" s="7">
        <v>0.42</v>
      </c>
      <c r="K9" s="5">
        <v>86</v>
      </c>
      <c r="L9" s="5">
        <v>5.8</v>
      </c>
      <c r="M9" s="5">
        <v>36000</v>
      </c>
    </row>
    <row r="10" spans="1:13" x14ac:dyDescent="0.3">
      <c r="A10" s="42"/>
      <c r="B10" s="5" t="s">
        <v>24</v>
      </c>
      <c r="C10" s="6">
        <v>10450</v>
      </c>
      <c r="D10" s="6">
        <v>1076</v>
      </c>
      <c r="E10" s="7">
        <v>10.3</v>
      </c>
      <c r="F10" s="5">
        <v>470</v>
      </c>
      <c r="G10" s="7">
        <v>4.5</v>
      </c>
      <c r="H10" s="5">
        <v>650</v>
      </c>
      <c r="I10" s="5">
        <v>2920</v>
      </c>
      <c r="J10" s="7">
        <v>0.38</v>
      </c>
      <c r="K10" s="5">
        <v>91</v>
      </c>
      <c r="L10" s="5">
        <v>7.2</v>
      </c>
      <c r="M10" s="5">
        <v>40500</v>
      </c>
    </row>
    <row r="11" spans="1:13" x14ac:dyDescent="0.3">
      <c r="A11" s="42"/>
      <c r="B11" s="5" t="s">
        <v>26</v>
      </c>
      <c r="C11" s="6">
        <v>12380</v>
      </c>
      <c r="D11" s="6">
        <v>1300</v>
      </c>
      <c r="E11" s="7">
        <v>10.5</v>
      </c>
      <c r="F11" s="5">
        <v>585</v>
      </c>
      <c r="G11" s="7">
        <v>4.72</v>
      </c>
      <c r="H11" s="5">
        <v>790</v>
      </c>
      <c r="I11" s="5">
        <v>3140</v>
      </c>
      <c r="J11" s="7">
        <v>0.34</v>
      </c>
      <c r="K11" s="5">
        <v>98</v>
      </c>
      <c r="L11" s="5">
        <v>8.9</v>
      </c>
      <c r="M11" s="5">
        <v>45500</v>
      </c>
    </row>
    <row r="12" spans="1:13" x14ac:dyDescent="0.3">
      <c r="A12" s="42"/>
      <c r="B12" s="5" t="s">
        <v>28</v>
      </c>
      <c r="C12" s="6">
        <v>14650</v>
      </c>
      <c r="D12" s="6">
        <v>1568</v>
      </c>
      <c r="E12" s="7">
        <v>10.7</v>
      </c>
      <c r="F12" s="5">
        <v>735</v>
      </c>
      <c r="G12" s="7">
        <v>5.0199999999999996</v>
      </c>
      <c r="H12" s="5">
        <v>960</v>
      </c>
      <c r="I12" s="5">
        <v>3380</v>
      </c>
      <c r="J12" s="7">
        <v>0.31</v>
      </c>
      <c r="K12" s="5">
        <v>107</v>
      </c>
      <c r="L12" s="5">
        <v>11.2</v>
      </c>
      <c r="M12" s="5">
        <v>51500</v>
      </c>
    </row>
    <row r="13" spans="1:13" x14ac:dyDescent="0.3">
      <c r="A13" s="42"/>
      <c r="B13" s="5" t="s">
        <v>30</v>
      </c>
      <c r="C13" s="6">
        <v>17100</v>
      </c>
      <c r="D13" s="6">
        <v>1864</v>
      </c>
      <c r="E13" s="7">
        <v>10.9</v>
      </c>
      <c r="F13" s="5">
        <v>910</v>
      </c>
      <c r="G13" s="7">
        <v>5.32</v>
      </c>
      <c r="H13" s="5">
        <v>1180</v>
      </c>
      <c r="I13" s="5">
        <v>3660</v>
      </c>
      <c r="J13" s="7">
        <v>0.28000000000000003</v>
      </c>
      <c r="K13" s="5">
        <v>117</v>
      </c>
      <c r="L13" s="5">
        <v>13.9</v>
      </c>
      <c r="M13" s="5">
        <v>59000</v>
      </c>
    </row>
    <row r="14" spans="1:13" x14ac:dyDescent="0.3">
      <c r="A14" s="42"/>
      <c r="B14" s="5" t="s">
        <v>32</v>
      </c>
      <c r="C14" s="6">
        <v>19680</v>
      </c>
      <c r="D14" s="6">
        <v>2184</v>
      </c>
      <c r="E14" s="7">
        <v>11.1</v>
      </c>
      <c r="F14" s="5">
        <v>1105</v>
      </c>
      <c r="G14" s="7">
        <v>5.62</v>
      </c>
      <c r="H14" s="5">
        <v>1420</v>
      </c>
      <c r="I14" s="5">
        <v>3970</v>
      </c>
      <c r="J14" s="7">
        <v>0.25</v>
      </c>
      <c r="K14" s="5">
        <v>129</v>
      </c>
      <c r="L14" s="5">
        <v>16.8</v>
      </c>
      <c r="M14" s="5">
        <v>67000</v>
      </c>
    </row>
    <row r="15" spans="1:13" x14ac:dyDescent="0.3">
      <c r="A15" s="42" t="s">
        <v>27</v>
      </c>
      <c r="B15" s="5" t="s">
        <v>23</v>
      </c>
      <c r="C15" s="6">
        <v>3050</v>
      </c>
      <c r="D15" s="6">
        <v>580</v>
      </c>
      <c r="E15" s="7">
        <v>19.02</v>
      </c>
      <c r="F15" s="5">
        <v>245</v>
      </c>
      <c r="G15" s="7">
        <v>8.0299999999999994</v>
      </c>
      <c r="H15" s="5">
        <v>330</v>
      </c>
      <c r="I15" s="5">
        <v>1280</v>
      </c>
      <c r="J15" s="7">
        <v>0.48</v>
      </c>
      <c r="K15" s="5">
        <v>118</v>
      </c>
      <c r="L15" s="5">
        <v>8.6999999999999993</v>
      </c>
      <c r="M15" s="5">
        <v>9100</v>
      </c>
    </row>
    <row r="16" spans="1:13" x14ac:dyDescent="0.3">
      <c r="A16" s="42"/>
      <c r="B16" s="5" t="s">
        <v>24</v>
      </c>
      <c r="C16" s="6">
        <v>3480</v>
      </c>
      <c r="D16" s="6">
        <v>678</v>
      </c>
      <c r="E16" s="7">
        <v>19.48</v>
      </c>
      <c r="F16" s="5">
        <v>292</v>
      </c>
      <c r="G16" s="7">
        <v>8.39</v>
      </c>
      <c r="H16" s="5">
        <v>386</v>
      </c>
      <c r="I16" s="5">
        <v>1350</v>
      </c>
      <c r="J16" s="7">
        <v>0.44</v>
      </c>
      <c r="K16" s="5">
        <v>126</v>
      </c>
      <c r="L16" s="5">
        <v>10.3</v>
      </c>
      <c r="M16" s="5">
        <v>10200</v>
      </c>
    </row>
    <row r="17" spans="1:13" x14ac:dyDescent="0.3">
      <c r="A17" s="42"/>
      <c r="B17" s="5" t="s">
        <v>26</v>
      </c>
      <c r="C17" s="6">
        <v>4010</v>
      </c>
      <c r="D17" s="6">
        <v>798</v>
      </c>
      <c r="E17" s="7">
        <v>19.899999999999999</v>
      </c>
      <c r="F17" s="5">
        <v>346</v>
      </c>
      <c r="G17" s="7">
        <v>8.6300000000000008</v>
      </c>
      <c r="H17" s="5">
        <v>452</v>
      </c>
      <c r="I17" s="5">
        <v>1440</v>
      </c>
      <c r="J17" s="7">
        <v>0.41</v>
      </c>
      <c r="K17" s="5">
        <v>136</v>
      </c>
      <c r="L17" s="5">
        <v>12.1</v>
      </c>
      <c r="M17" s="5">
        <v>11600</v>
      </c>
    </row>
    <row r="18" spans="1:13" x14ac:dyDescent="0.3">
      <c r="A18" s="42"/>
      <c r="B18" s="5" t="s">
        <v>28</v>
      </c>
      <c r="C18" s="6">
        <v>4620</v>
      </c>
      <c r="D18" s="6">
        <v>942</v>
      </c>
      <c r="E18" s="7">
        <v>20.39</v>
      </c>
      <c r="F18" s="5">
        <v>416</v>
      </c>
      <c r="G18" s="7">
        <v>9</v>
      </c>
      <c r="H18" s="5">
        <v>535</v>
      </c>
      <c r="I18" s="5">
        <v>1545</v>
      </c>
      <c r="J18" s="7">
        <v>0.37</v>
      </c>
      <c r="K18" s="5">
        <v>148</v>
      </c>
      <c r="L18" s="5">
        <v>14.5</v>
      </c>
      <c r="M18" s="5">
        <v>13200</v>
      </c>
    </row>
    <row r="19" spans="1:13" x14ac:dyDescent="0.3">
      <c r="A19" s="42"/>
      <c r="B19" s="5" t="s">
        <v>30</v>
      </c>
      <c r="C19" s="6">
        <v>5320</v>
      </c>
      <c r="D19" s="6">
        <v>1117</v>
      </c>
      <c r="E19" s="7">
        <v>21</v>
      </c>
      <c r="F19" s="5">
        <v>505</v>
      </c>
      <c r="G19" s="7">
        <v>9.49</v>
      </c>
      <c r="H19" s="5">
        <v>635</v>
      </c>
      <c r="I19" s="5">
        <v>1660</v>
      </c>
      <c r="J19" s="7">
        <v>0.34</v>
      </c>
      <c r="K19" s="5">
        <v>161</v>
      </c>
      <c r="L19" s="5">
        <v>17.600000000000001</v>
      </c>
      <c r="M19" s="5">
        <v>14900</v>
      </c>
    </row>
    <row r="20" spans="1:13" x14ac:dyDescent="0.3">
      <c r="A20" s="42"/>
      <c r="B20" s="5" t="s">
        <v>32</v>
      </c>
      <c r="C20" s="6">
        <v>6120</v>
      </c>
      <c r="D20" s="6">
        <v>1305</v>
      </c>
      <c r="E20" s="7">
        <v>21.32</v>
      </c>
      <c r="F20" s="5">
        <v>602</v>
      </c>
      <c r="G20" s="7">
        <v>9.84</v>
      </c>
      <c r="H20" s="5">
        <v>748</v>
      </c>
      <c r="I20" s="5">
        <v>1785</v>
      </c>
      <c r="J20" s="7">
        <v>0.31</v>
      </c>
      <c r="K20" s="5">
        <v>176</v>
      </c>
      <c r="L20" s="5">
        <v>20.9</v>
      </c>
      <c r="M20" s="5">
        <v>16800</v>
      </c>
    </row>
    <row r="21" spans="1:13" x14ac:dyDescent="0.3">
      <c r="A21" s="42" t="s">
        <v>29</v>
      </c>
      <c r="B21" s="5" t="s">
        <v>23</v>
      </c>
      <c r="C21" s="6">
        <v>6450</v>
      </c>
      <c r="D21" s="6">
        <v>2193</v>
      </c>
      <c r="E21" s="7">
        <v>34</v>
      </c>
      <c r="F21" s="5">
        <v>525</v>
      </c>
      <c r="G21" s="7">
        <v>8.14</v>
      </c>
      <c r="H21" s="5">
        <v>840</v>
      </c>
      <c r="I21" s="5">
        <v>11250</v>
      </c>
      <c r="J21" s="7">
        <v>1.65</v>
      </c>
      <c r="K21" s="5">
        <v>76</v>
      </c>
      <c r="L21" s="5">
        <v>4.0999999999999996</v>
      </c>
      <c r="M21" s="5">
        <v>24700</v>
      </c>
    </row>
    <row r="22" spans="1:13" x14ac:dyDescent="0.3">
      <c r="A22" s="42"/>
      <c r="B22" s="5" t="s">
        <v>24</v>
      </c>
      <c r="C22" s="6">
        <v>7120</v>
      </c>
      <c r="D22" s="6">
        <v>2463</v>
      </c>
      <c r="E22" s="7">
        <v>34.6</v>
      </c>
      <c r="F22" s="5">
        <v>618</v>
      </c>
      <c r="G22" s="7">
        <v>8.68</v>
      </c>
      <c r="H22" s="5">
        <v>960</v>
      </c>
      <c r="I22" s="5">
        <v>11680</v>
      </c>
      <c r="J22" s="7">
        <v>1.56</v>
      </c>
      <c r="K22" s="5">
        <v>82</v>
      </c>
      <c r="L22" s="5">
        <v>4.9000000000000004</v>
      </c>
      <c r="M22" s="5">
        <v>26500</v>
      </c>
    </row>
    <row r="23" spans="1:13" x14ac:dyDescent="0.3">
      <c r="A23" s="42"/>
      <c r="B23" s="5" t="s">
        <v>26</v>
      </c>
      <c r="C23" s="6">
        <v>7890</v>
      </c>
      <c r="D23" s="6">
        <v>2762</v>
      </c>
      <c r="E23" s="7">
        <v>35</v>
      </c>
      <c r="F23" s="5">
        <v>735</v>
      </c>
      <c r="G23" s="7">
        <v>9.32</v>
      </c>
      <c r="H23" s="5">
        <v>1115</v>
      </c>
      <c r="I23" s="5">
        <v>12150</v>
      </c>
      <c r="J23" s="7">
        <v>1.47</v>
      </c>
      <c r="K23" s="5">
        <v>89</v>
      </c>
      <c r="L23" s="5">
        <v>5.9</v>
      </c>
      <c r="M23" s="5">
        <v>28800</v>
      </c>
    </row>
    <row r="24" spans="1:13" x14ac:dyDescent="0.3">
      <c r="A24" s="42"/>
      <c r="B24" s="5" t="s">
        <v>28</v>
      </c>
      <c r="C24" s="6">
        <v>8740</v>
      </c>
      <c r="D24" s="6">
        <v>3103</v>
      </c>
      <c r="E24" s="7">
        <v>35.5</v>
      </c>
      <c r="F24" s="5">
        <v>872</v>
      </c>
      <c r="G24" s="7">
        <v>9.98</v>
      </c>
      <c r="H24" s="5">
        <v>1295</v>
      </c>
      <c r="I24" s="5">
        <v>12690</v>
      </c>
      <c r="J24" s="7">
        <v>1.39</v>
      </c>
      <c r="K24" s="5">
        <v>98</v>
      </c>
      <c r="L24" s="5">
        <v>7</v>
      </c>
      <c r="M24" s="5">
        <v>31400</v>
      </c>
    </row>
    <row r="25" spans="1:13" x14ac:dyDescent="0.3">
      <c r="A25" s="42"/>
      <c r="B25" s="5" t="s">
        <v>30</v>
      </c>
      <c r="C25" s="6">
        <v>9690</v>
      </c>
      <c r="D25" s="6">
        <v>3498</v>
      </c>
      <c r="E25" s="7">
        <v>36.1</v>
      </c>
      <c r="F25" s="5">
        <v>1035</v>
      </c>
      <c r="G25" s="7">
        <v>10.68</v>
      </c>
      <c r="H25" s="5">
        <v>1505</v>
      </c>
      <c r="I25" s="5">
        <v>13280</v>
      </c>
      <c r="J25" s="7">
        <v>1.3</v>
      </c>
      <c r="K25" s="5">
        <v>108</v>
      </c>
      <c r="L25" s="5">
        <v>8.3000000000000007</v>
      </c>
      <c r="M25" s="5">
        <v>34300</v>
      </c>
    </row>
    <row r="26" spans="1:13" x14ac:dyDescent="0.3">
      <c r="A26" s="42"/>
      <c r="B26" s="5" t="s">
        <v>32</v>
      </c>
      <c r="C26" s="6">
        <v>10750</v>
      </c>
      <c r="D26" s="6">
        <v>3913</v>
      </c>
      <c r="E26" s="7">
        <v>36.4</v>
      </c>
      <c r="F26" s="5">
        <v>1215</v>
      </c>
      <c r="G26" s="7">
        <v>11.3</v>
      </c>
      <c r="H26" s="5">
        <v>1730</v>
      </c>
      <c r="I26" s="5">
        <v>13920</v>
      </c>
      <c r="J26" s="7">
        <v>1.22</v>
      </c>
      <c r="K26" s="5">
        <v>119</v>
      </c>
      <c r="L26" s="5">
        <v>9.8000000000000007</v>
      </c>
      <c r="M26" s="5">
        <v>37500</v>
      </c>
    </row>
    <row r="27" spans="1:13" x14ac:dyDescent="0.3">
      <c r="A27" s="42" t="s">
        <v>31</v>
      </c>
      <c r="B27" s="5" t="s">
        <v>23</v>
      </c>
      <c r="C27" s="6">
        <v>4120</v>
      </c>
      <c r="D27" s="6">
        <v>700</v>
      </c>
      <c r="E27" s="7">
        <v>16.989999999999998</v>
      </c>
      <c r="F27" s="5">
        <v>262</v>
      </c>
      <c r="G27" s="7">
        <v>6.36</v>
      </c>
      <c r="H27" s="5">
        <v>355</v>
      </c>
      <c r="I27" s="5">
        <v>1650</v>
      </c>
      <c r="J27" s="7">
        <v>0.57999999999999996</v>
      </c>
      <c r="K27" s="5">
        <v>104</v>
      </c>
      <c r="L27" s="5">
        <v>9.1999999999999993</v>
      </c>
      <c r="M27" s="5">
        <v>11800</v>
      </c>
    </row>
    <row r="28" spans="1:13" x14ac:dyDescent="0.3">
      <c r="A28" s="42"/>
      <c r="B28" s="5" t="s">
        <v>24</v>
      </c>
      <c r="C28" s="6">
        <v>4720</v>
      </c>
      <c r="D28" s="6">
        <v>826</v>
      </c>
      <c r="E28" s="7">
        <v>17.5</v>
      </c>
      <c r="F28" s="5">
        <v>322</v>
      </c>
      <c r="G28" s="7">
        <v>6.82</v>
      </c>
      <c r="H28" s="5">
        <v>432</v>
      </c>
      <c r="I28" s="5">
        <v>1760</v>
      </c>
      <c r="J28" s="7">
        <v>0.54</v>
      </c>
      <c r="K28" s="5">
        <v>113</v>
      </c>
      <c r="L28" s="5">
        <v>11.1</v>
      </c>
      <c r="M28" s="5">
        <v>13200</v>
      </c>
    </row>
    <row r="29" spans="1:13" x14ac:dyDescent="0.3">
      <c r="A29" s="42"/>
      <c r="B29" s="5" t="s">
        <v>26</v>
      </c>
      <c r="C29" s="6">
        <v>5430</v>
      </c>
      <c r="D29" s="6">
        <v>983</v>
      </c>
      <c r="E29" s="7">
        <v>18.100000000000001</v>
      </c>
      <c r="F29" s="5">
        <v>398</v>
      </c>
      <c r="G29" s="7">
        <v>7.33</v>
      </c>
      <c r="H29" s="5">
        <v>525</v>
      </c>
      <c r="I29" s="5">
        <v>1880</v>
      </c>
      <c r="J29" s="7">
        <v>0.49</v>
      </c>
      <c r="K29" s="5">
        <v>123</v>
      </c>
      <c r="L29" s="5">
        <v>13.5</v>
      </c>
      <c r="M29" s="5">
        <v>14900</v>
      </c>
    </row>
    <row r="30" spans="1:13" x14ac:dyDescent="0.3">
      <c r="A30" s="42"/>
      <c r="B30" s="5" t="s">
        <v>28</v>
      </c>
      <c r="C30" s="6">
        <v>6230</v>
      </c>
      <c r="D30" s="6">
        <v>1147</v>
      </c>
      <c r="E30" s="7">
        <v>18.41</v>
      </c>
      <c r="F30" s="5">
        <v>486</v>
      </c>
      <c r="G30" s="7">
        <v>7.8</v>
      </c>
      <c r="H30" s="5">
        <v>632</v>
      </c>
      <c r="I30" s="5">
        <v>2010</v>
      </c>
      <c r="J30" s="7">
        <v>0.45</v>
      </c>
      <c r="K30" s="5">
        <v>135</v>
      </c>
      <c r="L30" s="5">
        <v>16.2</v>
      </c>
      <c r="M30" s="5">
        <v>16800</v>
      </c>
    </row>
    <row r="31" spans="1:13" x14ac:dyDescent="0.3">
      <c r="A31" s="42"/>
      <c r="B31" s="5" t="s">
        <v>30</v>
      </c>
      <c r="C31" s="6">
        <v>7140</v>
      </c>
      <c r="D31" s="6">
        <v>1335</v>
      </c>
      <c r="E31" s="7">
        <v>18.7</v>
      </c>
      <c r="F31" s="5">
        <v>592</v>
      </c>
      <c r="G31" s="7">
        <v>8.2899999999999991</v>
      </c>
      <c r="H31" s="5">
        <v>755</v>
      </c>
      <c r="I31" s="5">
        <v>2150</v>
      </c>
      <c r="J31" s="7">
        <v>0.41</v>
      </c>
      <c r="K31" s="5">
        <v>148</v>
      </c>
      <c r="L31" s="5">
        <v>19.600000000000001</v>
      </c>
      <c r="M31" s="5">
        <v>19000</v>
      </c>
    </row>
    <row r="32" spans="1:13" x14ac:dyDescent="0.3">
      <c r="A32" s="42"/>
      <c r="B32" s="5" t="s">
        <v>32</v>
      </c>
      <c r="C32" s="6">
        <v>8160</v>
      </c>
      <c r="D32" s="6">
        <v>1542</v>
      </c>
      <c r="E32" s="7">
        <v>18.899999999999999</v>
      </c>
      <c r="F32" s="5">
        <v>715</v>
      </c>
      <c r="G32" s="7">
        <v>8.76</v>
      </c>
      <c r="H32" s="5">
        <v>896</v>
      </c>
      <c r="I32" s="5">
        <v>2310</v>
      </c>
      <c r="J32" s="7">
        <v>0.38</v>
      </c>
      <c r="K32" s="5">
        <v>163</v>
      </c>
      <c r="L32" s="5">
        <v>23.4</v>
      </c>
      <c r="M32" s="5">
        <v>21400</v>
      </c>
    </row>
  </sheetData>
  <mergeCells count="5">
    <mergeCell ref="A3:A8"/>
    <mergeCell ref="A9:A14"/>
    <mergeCell ref="A15:A20"/>
    <mergeCell ref="A21:A26"/>
    <mergeCell ref="A27:A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A57"/>
  <sheetViews>
    <sheetView zoomScaleNormal="100" workbookViewId="0">
      <selection activeCell="A5" sqref="A5"/>
    </sheetView>
  </sheetViews>
  <sheetFormatPr defaultColWidth="18.33203125" defaultRowHeight="14.4" x14ac:dyDescent="0.3"/>
  <cols>
    <col min="1" max="1" width="18.44140625" bestFit="1" customWidth="1"/>
    <col min="2" max="2" width="16.88671875" bestFit="1" customWidth="1"/>
    <col min="3" max="3" width="22.44140625" bestFit="1" customWidth="1"/>
    <col min="4" max="4" width="11.5546875" bestFit="1" customWidth="1"/>
    <col min="5" max="5" width="13.44140625" bestFit="1" customWidth="1"/>
    <col min="6" max="6" width="10.44140625" bestFit="1" customWidth="1"/>
    <col min="7" max="7" width="10.6640625" bestFit="1" customWidth="1"/>
    <col min="8" max="8" width="14.5546875" bestFit="1" customWidth="1"/>
    <col min="9" max="9" width="15" bestFit="1" customWidth="1"/>
    <col min="10" max="10" width="20.33203125" bestFit="1" customWidth="1"/>
    <col min="11" max="11" width="23.6640625" bestFit="1" customWidth="1"/>
    <col min="12" max="12" width="16" bestFit="1" customWidth="1"/>
    <col min="13" max="13" width="15" bestFit="1" customWidth="1"/>
    <col min="15" max="15" width="19.88671875" customWidth="1"/>
    <col min="16" max="16" width="15.109375" bestFit="1" customWidth="1"/>
    <col min="17" max="17" width="13.88671875" bestFit="1" customWidth="1"/>
    <col min="18" max="18" width="10.6640625" bestFit="1" customWidth="1"/>
    <col min="19" max="19" width="16.5546875" bestFit="1" customWidth="1"/>
    <col min="20" max="20" width="17.21875" bestFit="1" customWidth="1"/>
    <col min="21" max="21" width="11.44140625" bestFit="1" customWidth="1"/>
    <col min="22" max="22" width="16.88671875" bestFit="1" customWidth="1"/>
    <col min="23" max="23" width="10.44140625" bestFit="1" customWidth="1"/>
    <col min="24" max="24" width="17" bestFit="1" customWidth="1"/>
  </cols>
  <sheetData>
    <row r="2" spans="1:27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3" t="s">
        <v>12</v>
      </c>
      <c r="O2" s="4" t="s">
        <v>0</v>
      </c>
      <c r="P2" s="4" t="s">
        <v>13</v>
      </c>
      <c r="Q2" s="4" t="s">
        <v>14</v>
      </c>
      <c r="R2" s="28" t="s">
        <v>15</v>
      </c>
      <c r="S2" s="28" t="s">
        <v>16</v>
      </c>
      <c r="T2" s="28" t="s">
        <v>17</v>
      </c>
      <c r="U2" s="28" t="s">
        <v>18</v>
      </c>
      <c r="V2" s="28" t="s">
        <v>19</v>
      </c>
      <c r="W2" s="28" t="s">
        <v>20</v>
      </c>
      <c r="X2" s="28" t="s">
        <v>21</v>
      </c>
    </row>
    <row r="3" spans="1:27" x14ac:dyDescent="0.3">
      <c r="A3" s="20" t="s">
        <v>22</v>
      </c>
      <c r="B3" s="5" t="s">
        <v>23</v>
      </c>
      <c r="C3" s="6">
        <v>148000</v>
      </c>
      <c r="D3" s="6">
        <v>16872</v>
      </c>
      <c r="E3" s="7">
        <v>11.4</v>
      </c>
      <c r="F3" s="6">
        <v>9650</v>
      </c>
      <c r="G3" s="7">
        <v>6.52</v>
      </c>
      <c r="H3" s="8">
        <v>12340</v>
      </c>
      <c r="I3" s="6">
        <v>68200</v>
      </c>
      <c r="J3" s="7">
        <v>1.1200000000000001</v>
      </c>
      <c r="K3" s="5">
        <v>512</v>
      </c>
      <c r="L3" s="5">
        <v>69.2</v>
      </c>
      <c r="M3" s="9">
        <v>325000</v>
      </c>
      <c r="O3" s="39" t="s">
        <v>22</v>
      </c>
      <c r="P3" s="38">
        <v>0.12089999999999999</v>
      </c>
      <c r="Q3" s="38">
        <v>0.13619999999999999</v>
      </c>
      <c r="R3" s="38">
        <v>0.14849999999999999</v>
      </c>
      <c r="S3" s="38">
        <v>0.12740000000000001</v>
      </c>
      <c r="T3" s="38">
        <v>4.5499999999999999E-2</v>
      </c>
      <c r="U3" s="38">
        <v>-3.8600000000000002E-2</v>
      </c>
      <c r="V3" s="38">
        <v>7.1800000000000003E-2</v>
      </c>
      <c r="W3" s="38">
        <v>0.1477</v>
      </c>
      <c r="X3" s="38">
        <v>8.3400000000000002E-2</v>
      </c>
    </row>
    <row r="4" spans="1:27" x14ac:dyDescent="0.3">
      <c r="A4" s="20" t="s">
        <v>22</v>
      </c>
      <c r="B4" s="5" t="s">
        <v>24</v>
      </c>
      <c r="C4" s="6">
        <v>163500</v>
      </c>
      <c r="D4" s="6">
        <v>18966</v>
      </c>
      <c r="E4" s="7">
        <v>11.6</v>
      </c>
      <c r="F4" s="6">
        <v>10820</v>
      </c>
      <c r="G4" s="7">
        <v>6.62</v>
      </c>
      <c r="H4" s="8">
        <v>13650</v>
      </c>
      <c r="I4" s="6">
        <v>70500</v>
      </c>
      <c r="J4" s="7">
        <v>1.08</v>
      </c>
      <c r="K4" s="5">
        <v>545</v>
      </c>
      <c r="L4" s="5">
        <v>77.099999999999994</v>
      </c>
      <c r="M4" s="9">
        <v>345000</v>
      </c>
      <c r="O4" s="39" t="s">
        <v>25</v>
      </c>
      <c r="P4" s="38">
        <v>0.17199999999999999</v>
      </c>
      <c r="Q4" s="38">
        <v>0.19670000000000001</v>
      </c>
      <c r="R4" s="38">
        <v>0.25140000000000001</v>
      </c>
      <c r="S4" s="38">
        <v>0.2225</v>
      </c>
      <c r="T4" s="38">
        <v>7.6200000000000004E-2</v>
      </c>
      <c r="U4" s="38">
        <v>-9.8599999999999993E-2</v>
      </c>
      <c r="V4" s="38">
        <v>8.4500000000000006E-2</v>
      </c>
      <c r="W4" s="38">
        <v>0.23699999999999999</v>
      </c>
      <c r="X4" s="38">
        <v>0.1323</v>
      </c>
    </row>
    <row r="5" spans="1:27" x14ac:dyDescent="0.3">
      <c r="A5" s="20" t="s">
        <v>22</v>
      </c>
      <c r="B5" s="5" t="s">
        <v>26</v>
      </c>
      <c r="C5" s="6">
        <v>182800</v>
      </c>
      <c r="D5" s="6">
        <v>21410</v>
      </c>
      <c r="E5" s="7">
        <v>11.71</v>
      </c>
      <c r="F5" s="6">
        <v>12340</v>
      </c>
      <c r="G5" s="7">
        <v>6.75</v>
      </c>
      <c r="H5" s="8">
        <v>15120</v>
      </c>
      <c r="I5" s="6">
        <v>73600</v>
      </c>
      <c r="J5" s="7">
        <v>1.02</v>
      </c>
      <c r="K5" s="5">
        <v>586</v>
      </c>
      <c r="L5" s="5">
        <v>88.2</v>
      </c>
      <c r="M5" s="9">
        <v>372000</v>
      </c>
      <c r="O5" s="39" t="s">
        <v>27</v>
      </c>
      <c r="P5" s="38">
        <v>0.14949999999999999</v>
      </c>
      <c r="Q5" s="38">
        <v>0.17610000000000001</v>
      </c>
      <c r="R5" s="38">
        <v>0.19700000000000001</v>
      </c>
      <c r="S5" s="38">
        <v>0.17780000000000001</v>
      </c>
      <c r="T5" s="38">
        <v>6.88E-2</v>
      </c>
      <c r="U5" s="38">
        <v>-8.3699999999999997E-2</v>
      </c>
      <c r="V5" s="38">
        <v>8.3199999999999996E-2</v>
      </c>
      <c r="W5" s="38">
        <v>0.19159999999999999</v>
      </c>
      <c r="X5" s="38">
        <v>0.1305</v>
      </c>
    </row>
    <row r="6" spans="1:27" x14ac:dyDescent="0.3">
      <c r="A6" s="20" t="s">
        <v>22</v>
      </c>
      <c r="B6" s="5" t="s">
        <v>28</v>
      </c>
      <c r="C6" s="6">
        <v>208400</v>
      </c>
      <c r="D6" s="6">
        <v>24800</v>
      </c>
      <c r="E6" s="7">
        <v>11.9</v>
      </c>
      <c r="F6" s="6">
        <v>14580</v>
      </c>
      <c r="G6" s="7">
        <v>7</v>
      </c>
      <c r="H6" s="8">
        <v>17420</v>
      </c>
      <c r="I6" s="6">
        <v>77100</v>
      </c>
      <c r="J6" s="7">
        <v>0.98</v>
      </c>
      <c r="K6" s="5">
        <v>628</v>
      </c>
      <c r="L6" s="5">
        <v>104.3</v>
      </c>
      <c r="M6" s="9">
        <v>408000</v>
      </c>
      <c r="O6" s="39" t="s">
        <v>29</v>
      </c>
      <c r="P6" s="38">
        <v>0.1076</v>
      </c>
      <c r="Q6" s="38">
        <v>0.12280000000000001</v>
      </c>
      <c r="R6" s="38">
        <v>0.1827</v>
      </c>
      <c r="S6" s="38">
        <v>0.1555</v>
      </c>
      <c r="T6" s="38">
        <v>4.3499999999999997E-2</v>
      </c>
      <c r="U6" s="38">
        <v>-5.8599999999999999E-2</v>
      </c>
      <c r="V6" s="38">
        <v>9.3799999999999994E-2</v>
      </c>
      <c r="W6" s="38">
        <v>0.19040000000000001</v>
      </c>
      <c r="X6" s="38">
        <v>8.7099999999999997E-2</v>
      </c>
    </row>
    <row r="7" spans="1:27" x14ac:dyDescent="0.3">
      <c r="A7" s="20" t="s">
        <v>22</v>
      </c>
      <c r="B7" s="5" t="s">
        <v>30</v>
      </c>
      <c r="C7" s="6">
        <v>234700</v>
      </c>
      <c r="D7" s="6">
        <v>28270</v>
      </c>
      <c r="E7" s="7">
        <v>12.04</v>
      </c>
      <c r="F7" s="6">
        <v>16890</v>
      </c>
      <c r="G7" s="7">
        <v>7.2</v>
      </c>
      <c r="H7" s="8">
        <v>19860</v>
      </c>
      <c r="I7" s="6">
        <v>80900</v>
      </c>
      <c r="J7" s="7">
        <v>0.95</v>
      </c>
      <c r="K7" s="5">
        <v>675</v>
      </c>
      <c r="L7" s="5">
        <v>120.7</v>
      </c>
      <c r="M7" s="9">
        <v>446000</v>
      </c>
      <c r="O7" s="39" t="s">
        <v>31</v>
      </c>
      <c r="P7" s="38">
        <v>0.14649999999999999</v>
      </c>
      <c r="Q7" s="38">
        <v>0.1711</v>
      </c>
      <c r="R7" s="38">
        <v>0.22239999999999999</v>
      </c>
      <c r="S7" s="38">
        <v>0.2034</v>
      </c>
      <c r="T7" s="38">
        <v>6.9599999999999995E-2</v>
      </c>
      <c r="U7" s="38">
        <v>-8.1100000000000005E-2</v>
      </c>
      <c r="V7" s="38">
        <v>9.4E-2</v>
      </c>
      <c r="W7" s="38">
        <v>0.20530000000000001</v>
      </c>
      <c r="X7" s="38">
        <v>0.12640000000000001</v>
      </c>
    </row>
    <row r="8" spans="1:27" x14ac:dyDescent="0.3">
      <c r="A8" s="20" t="s">
        <v>22</v>
      </c>
      <c r="B8" s="5" t="s">
        <v>32</v>
      </c>
      <c r="C8" s="6">
        <v>261900</v>
      </c>
      <c r="D8" s="6">
        <v>31950</v>
      </c>
      <c r="E8" s="7">
        <v>12.2</v>
      </c>
      <c r="F8" s="6">
        <v>19280</v>
      </c>
      <c r="G8" s="7">
        <v>7.36</v>
      </c>
      <c r="H8" s="8">
        <v>22480</v>
      </c>
      <c r="I8" s="6">
        <v>85200</v>
      </c>
      <c r="J8" s="7">
        <v>0.92</v>
      </c>
      <c r="K8" s="5">
        <v>724</v>
      </c>
      <c r="L8" s="5">
        <v>137.80000000000001</v>
      </c>
      <c r="M8" s="9">
        <v>485000</v>
      </c>
      <c r="O8" s="36"/>
      <c r="P8" s="37"/>
      <c r="Q8" s="11"/>
    </row>
    <row r="9" spans="1:27" x14ac:dyDescent="0.3">
      <c r="A9" s="29" t="s">
        <v>22</v>
      </c>
      <c r="B9" s="30" t="s">
        <v>33</v>
      </c>
      <c r="C9" s="12">
        <f>C8*(1+VLOOKUP($A9,$O$3:$X$7,2,FALSE()))</f>
        <v>293563.71000000002</v>
      </c>
      <c r="D9" s="12">
        <f>D8*(1+VLOOKUP($A9,$O$3:$X$7,3,FALSE()))</f>
        <v>36301.590000000004</v>
      </c>
      <c r="E9" s="13">
        <f>D9/C9*100</f>
        <v>12.365830231536453</v>
      </c>
      <c r="F9" s="12">
        <f>F8*(1+VLOOKUP($A9,$O$3:$X$7,4,FALSE()))</f>
        <v>22143.08</v>
      </c>
      <c r="G9" s="13">
        <f>F9/C9*100</f>
        <v>7.5428533043133976</v>
      </c>
      <c r="H9" s="14">
        <f>H8*(1+VLOOKUP($A9,$O$3:$X$7,5,FALSE()))</f>
        <v>25343.951999999997</v>
      </c>
      <c r="I9" s="12">
        <f>I8*(1+VLOOKUP($A9,$O$3:$X$7,6,FALSE()))</f>
        <v>89076.6</v>
      </c>
      <c r="J9" s="15">
        <f>J8*(1+VLOOKUP($A9,$O$3:$X$7,7,FALSE()))</f>
        <v>0.88448800000000005</v>
      </c>
      <c r="K9" s="16">
        <f>K8*(1+VLOOKUP($A9,$O$3:$X$7,8,FALSE()))</f>
        <v>775.98320000000001</v>
      </c>
      <c r="L9" s="17">
        <f>L8*(1+VLOOKUP($A9,$O$3:$X$7,9,FALSE()))</f>
        <v>158.15306000000001</v>
      </c>
      <c r="M9" s="18">
        <f>M8*(1+VLOOKUP($A9,$O$3:$X$7,10,FALSE()))</f>
        <v>525449</v>
      </c>
      <c r="O9" s="40" t="s">
        <v>34</v>
      </c>
      <c r="P9" s="40"/>
      <c r="Q9" s="40"/>
      <c r="R9" s="40"/>
      <c r="S9" s="40"/>
      <c r="T9" s="40"/>
      <c r="U9" s="40"/>
      <c r="V9" s="40"/>
      <c r="W9" s="40"/>
      <c r="X9" s="40"/>
      <c r="Y9" s="33"/>
      <c r="Z9" s="33"/>
      <c r="AA9" s="33"/>
    </row>
    <row r="10" spans="1:27" x14ac:dyDescent="0.3">
      <c r="A10" s="29" t="s">
        <v>22</v>
      </c>
      <c r="B10" s="30" t="s">
        <v>35</v>
      </c>
      <c r="C10" s="12">
        <f>C9*(1+VLOOKUP($A10,$O$3:$X$7,2,FALSE()))</f>
        <v>329055.56253900001</v>
      </c>
      <c r="D10" s="12">
        <f>D9*(1+VLOOKUP($A10,$O$3:$X$7,3,FALSE()))</f>
        <v>41245.866558000009</v>
      </c>
      <c r="E10" s="13">
        <f>D10/C10*100</f>
        <v>12.534620670061308</v>
      </c>
      <c r="F10" s="12">
        <f>F9*(1+VLOOKUP($A10,$O$3:$X$7,4,FALSE()))</f>
        <v>25431.327380000002</v>
      </c>
      <c r="G10" s="13">
        <f>F10/C10*100</f>
        <v>7.7285815148576482</v>
      </c>
      <c r="H10" s="14">
        <f>H9*(1+VLOOKUP($A10,$O$3:$X$7,5,FALSE()))</f>
        <v>28572.771484799996</v>
      </c>
      <c r="I10" s="12">
        <f>I9*(1+VLOOKUP($A10,$O$3:$X$7,6,FALSE()))</f>
        <v>93129.585300000021</v>
      </c>
      <c r="J10" s="15">
        <f>J9*(1+VLOOKUP($A10,$O$3:$X$7,7,FALSE()))</f>
        <v>0.85034676320000013</v>
      </c>
      <c r="K10" s="16">
        <f>K9*(1+VLOOKUP($A10,$O$3:$X$7,8,FALSE()))</f>
        <v>831.69879376000006</v>
      </c>
      <c r="L10" s="17">
        <f>L9*(1+VLOOKUP($A10,$O$3:$X$7,9,FALSE()))</f>
        <v>181.51226696200001</v>
      </c>
      <c r="M10" s="18">
        <f>M9*(1+VLOOKUP($A10,$O$3:$X$7,10,FALSE()))</f>
        <v>569271.44659999991</v>
      </c>
      <c r="O10" s="34"/>
      <c r="P10" s="35"/>
      <c r="Q10" s="11"/>
    </row>
    <row r="11" spans="1:27" x14ac:dyDescent="0.3">
      <c r="A11" s="29" t="s">
        <v>22</v>
      </c>
      <c r="B11" s="30" t="s">
        <v>36</v>
      </c>
      <c r="C11" s="12">
        <f>C10*(1+VLOOKUP($A11,$O$3:$X$7,2,FALSE()))</f>
        <v>368838.38004996511</v>
      </c>
      <c r="D11" s="12">
        <f>D10*(1+VLOOKUP($A11,$O$3:$X$7,3,FALSE()))</f>
        <v>46863.553583199617</v>
      </c>
      <c r="E11" s="13">
        <f>D11/C11*100</f>
        <v>12.705715055155375</v>
      </c>
      <c r="F11" s="12">
        <f>F10*(1+VLOOKUP($A11,$O$3:$X$7,4,FALSE()))</f>
        <v>29207.879495930003</v>
      </c>
      <c r="G11" s="13">
        <f>F11/C11*100</f>
        <v>7.9188829242697905</v>
      </c>
      <c r="H11" s="14">
        <f>H10*(1+VLOOKUP($A11,$O$3:$X$7,5,FALSE()))</f>
        <v>32212.942571963515</v>
      </c>
      <c r="I11" s="12">
        <f>I10*(1+VLOOKUP($A11,$O$3:$X$7,6,FALSE()))</f>
        <v>97366.981431150038</v>
      </c>
      <c r="J11" s="15">
        <f>J10*(1+VLOOKUP($A11,$O$3:$X$7,7,FALSE()))</f>
        <v>0.81752337814048015</v>
      </c>
      <c r="K11" s="16">
        <f>K10*(1+VLOOKUP($A11,$O$3:$X$7,8,FALSE()))</f>
        <v>891.41476715196814</v>
      </c>
      <c r="L11" s="17">
        <f>L10*(1+VLOOKUP($A11,$O$3:$X$7,9,FALSE()))</f>
        <v>208.32162879228741</v>
      </c>
      <c r="M11" s="18">
        <f>M10*(1+VLOOKUP($A11,$O$3:$X$7,10,FALSE()))</f>
        <v>616748.68524643988</v>
      </c>
      <c r="O11" s="5"/>
      <c r="P11" s="10"/>
      <c r="Q11" s="11"/>
    </row>
    <row r="12" spans="1:27" x14ac:dyDescent="0.3">
      <c r="A12" s="29" t="s">
        <v>22</v>
      </c>
      <c r="B12" s="30" t="s">
        <v>37</v>
      </c>
      <c r="C12" s="12">
        <f>C11*(1+VLOOKUP($A12,$O$3:$X$7,2,FALSE()))</f>
        <v>413430.94019800588</v>
      </c>
      <c r="D12" s="12">
        <f>D11*(1+VLOOKUP($A12,$O$3:$X$7,3,FALSE()))</f>
        <v>53246.369581231411</v>
      </c>
      <c r="E12" s="13">
        <f>D12/C12*100</f>
        <v>12.879144835103522</v>
      </c>
      <c r="F12" s="12">
        <f>F11*(1+VLOOKUP($A12,$O$3:$X$7,4,FALSE()))</f>
        <v>33545.249601075608</v>
      </c>
      <c r="G12" s="13">
        <f>F12/C12*100</f>
        <v>8.1138701387490908</v>
      </c>
      <c r="H12" s="14">
        <f>H11*(1+VLOOKUP($A12,$O$3:$X$7,5,FALSE()))</f>
        <v>36316.871455631663</v>
      </c>
      <c r="I12" s="12">
        <f>I11*(1+VLOOKUP($A12,$O$3:$X$7,6,FALSE()))</f>
        <v>101797.17908626738</v>
      </c>
      <c r="J12" s="15">
        <f>J11*(1+VLOOKUP($A12,$O$3:$X$7,7,FALSE()))</f>
        <v>0.78596697574425767</v>
      </c>
      <c r="K12" s="16">
        <f>K11*(1+VLOOKUP($A12,$O$3:$X$7,8,FALSE()))</f>
        <v>955.41834743347954</v>
      </c>
      <c r="L12" s="17">
        <f>L11*(1+VLOOKUP($A12,$O$3:$X$7,9,FALSE()))</f>
        <v>239.09073336490826</v>
      </c>
      <c r="M12" s="18">
        <f>M11*(1+VLOOKUP($A12,$O$3:$X$7,10,FALSE()))</f>
        <v>668185.52559599292</v>
      </c>
      <c r="O12" s="19"/>
      <c r="P12" s="19"/>
      <c r="Q12" s="11"/>
    </row>
    <row r="13" spans="1:27" x14ac:dyDescent="0.3">
      <c r="A13" s="29" t="s">
        <v>22</v>
      </c>
      <c r="B13" s="30" t="s">
        <v>38</v>
      </c>
      <c r="C13" s="12">
        <f>C12*(1+VLOOKUP($A13,$O$3:$X$7,2,FALSE()))</f>
        <v>463414.74086794478</v>
      </c>
      <c r="D13" s="12">
        <f>D12*(1+VLOOKUP($A13,$O$3:$X$7,3,FALSE()))</f>
        <v>60498.525118195132</v>
      </c>
      <c r="E13" s="13">
        <f>D13/C13*100</f>
        <v>13.054941887451713</v>
      </c>
      <c r="F13" s="12">
        <f>F12*(1+VLOOKUP($A13,$O$3:$X$7,4,FALSE()))</f>
        <v>38526.719166835341</v>
      </c>
      <c r="G13" s="13">
        <f>F13/C13*100</f>
        <v>8.313658537205221</v>
      </c>
      <c r="H13" s="14">
        <f>H12*(1+VLOOKUP($A13,$O$3:$X$7,5,FALSE()))</f>
        <v>40943.640879079132</v>
      </c>
      <c r="I13" s="12">
        <f>I12*(1+VLOOKUP($A13,$O$3:$X$7,6,FALSE()))</f>
        <v>106428.95073469255</v>
      </c>
      <c r="J13" s="15">
        <f>J12*(1+VLOOKUP($A13,$O$3:$X$7,7,FALSE()))</f>
        <v>0.7556286504805293</v>
      </c>
      <c r="K13" s="16">
        <f>K12*(1+VLOOKUP($A13,$O$3:$X$7,8,FALSE()))</f>
        <v>1024.0173847792034</v>
      </c>
      <c r="L13" s="17">
        <f>L12*(1+VLOOKUP($A13,$O$3:$X$7,9,FALSE()))</f>
        <v>274.40443468290522</v>
      </c>
      <c r="M13" s="18">
        <f>M12*(1+VLOOKUP($A13,$O$3:$X$7,10,FALSE()))</f>
        <v>723912.19843069871</v>
      </c>
      <c r="O13" s="19"/>
      <c r="P13" s="19"/>
      <c r="Q13" s="11"/>
    </row>
    <row r="14" spans="1:27" x14ac:dyDescent="0.3">
      <c r="A14" s="20" t="s">
        <v>25</v>
      </c>
      <c r="B14" s="5" t="s">
        <v>23</v>
      </c>
      <c r="C14" s="6">
        <v>8900</v>
      </c>
      <c r="D14" s="6">
        <v>890</v>
      </c>
      <c r="E14" s="7">
        <v>10</v>
      </c>
      <c r="F14" s="6">
        <v>360</v>
      </c>
      <c r="G14" s="7">
        <v>4.04</v>
      </c>
      <c r="H14" s="8">
        <v>520</v>
      </c>
      <c r="I14" s="6">
        <v>2750</v>
      </c>
      <c r="J14" s="7">
        <v>0.42</v>
      </c>
      <c r="K14" s="5">
        <v>86</v>
      </c>
      <c r="L14" s="5">
        <v>5.8</v>
      </c>
      <c r="M14" s="9">
        <v>36000</v>
      </c>
      <c r="O14" s="19"/>
      <c r="P14" s="19"/>
      <c r="Q14" s="11"/>
    </row>
    <row r="15" spans="1:27" x14ac:dyDescent="0.3">
      <c r="A15" s="20" t="s">
        <v>25</v>
      </c>
      <c r="B15" s="5" t="s">
        <v>24</v>
      </c>
      <c r="C15" s="6">
        <v>10450</v>
      </c>
      <c r="D15" s="6">
        <v>1076</v>
      </c>
      <c r="E15" s="7">
        <v>10.3</v>
      </c>
      <c r="F15" s="6">
        <v>470</v>
      </c>
      <c r="G15" s="7">
        <v>4.5</v>
      </c>
      <c r="H15" s="8">
        <v>650</v>
      </c>
      <c r="I15" s="6">
        <v>2920</v>
      </c>
      <c r="J15" s="7">
        <v>0.38</v>
      </c>
      <c r="K15" s="5">
        <v>91</v>
      </c>
      <c r="L15" s="5">
        <v>7.2</v>
      </c>
      <c r="M15" s="9">
        <v>40500</v>
      </c>
      <c r="O15" s="19"/>
      <c r="P15" s="19"/>
      <c r="Q15" s="11"/>
    </row>
    <row r="16" spans="1:27" x14ac:dyDescent="0.3">
      <c r="A16" s="20" t="s">
        <v>25</v>
      </c>
      <c r="B16" s="5" t="s">
        <v>26</v>
      </c>
      <c r="C16" s="6">
        <v>12380</v>
      </c>
      <c r="D16" s="6">
        <v>1300</v>
      </c>
      <c r="E16" s="7">
        <v>10.5</v>
      </c>
      <c r="F16" s="6">
        <v>585</v>
      </c>
      <c r="G16" s="7">
        <v>4.72</v>
      </c>
      <c r="H16" s="8">
        <v>790</v>
      </c>
      <c r="I16" s="6">
        <v>3140</v>
      </c>
      <c r="J16" s="7">
        <v>0.34</v>
      </c>
      <c r="K16" s="5">
        <v>98</v>
      </c>
      <c r="L16" s="5">
        <v>8.9</v>
      </c>
      <c r="M16" s="9">
        <v>45500</v>
      </c>
      <c r="O16" s="19"/>
      <c r="P16" s="19"/>
      <c r="Q16" s="11"/>
    </row>
    <row r="17" spans="1:17" x14ac:dyDescent="0.3">
      <c r="A17" s="20" t="s">
        <v>25</v>
      </c>
      <c r="B17" s="5" t="s">
        <v>28</v>
      </c>
      <c r="C17" s="6">
        <v>14650</v>
      </c>
      <c r="D17" s="6">
        <v>1568</v>
      </c>
      <c r="E17" s="7">
        <v>10.7</v>
      </c>
      <c r="F17" s="6">
        <v>735</v>
      </c>
      <c r="G17" s="7">
        <v>5.0199999999999996</v>
      </c>
      <c r="H17" s="8">
        <v>960</v>
      </c>
      <c r="I17" s="6">
        <v>3380</v>
      </c>
      <c r="J17" s="7">
        <v>0.31</v>
      </c>
      <c r="K17" s="5">
        <v>107</v>
      </c>
      <c r="L17" s="5">
        <v>11.2</v>
      </c>
      <c r="M17" s="9">
        <v>51500</v>
      </c>
      <c r="O17" s="19"/>
      <c r="P17" s="19"/>
      <c r="Q17" s="11"/>
    </row>
    <row r="18" spans="1:17" x14ac:dyDescent="0.3">
      <c r="A18" s="20" t="s">
        <v>25</v>
      </c>
      <c r="B18" s="5" t="s">
        <v>30</v>
      </c>
      <c r="C18" s="6">
        <v>17100</v>
      </c>
      <c r="D18" s="6">
        <v>1864</v>
      </c>
      <c r="E18" s="7">
        <v>10.9</v>
      </c>
      <c r="F18" s="6">
        <v>910</v>
      </c>
      <c r="G18" s="7">
        <v>5.32</v>
      </c>
      <c r="H18" s="8">
        <v>1180</v>
      </c>
      <c r="I18" s="6">
        <v>3660</v>
      </c>
      <c r="J18" s="7">
        <v>0.28000000000000003</v>
      </c>
      <c r="K18" s="5">
        <v>117</v>
      </c>
      <c r="L18" s="5">
        <v>13.9</v>
      </c>
      <c r="M18" s="9">
        <v>59000</v>
      </c>
      <c r="O18" s="19"/>
      <c r="P18" s="19"/>
      <c r="Q18" s="11"/>
    </row>
    <row r="19" spans="1:17" x14ac:dyDescent="0.3">
      <c r="A19" s="20" t="s">
        <v>25</v>
      </c>
      <c r="B19" s="5" t="s">
        <v>32</v>
      </c>
      <c r="C19" s="6">
        <v>19680</v>
      </c>
      <c r="D19" s="6">
        <v>2184</v>
      </c>
      <c r="E19" s="7">
        <v>11.1</v>
      </c>
      <c r="F19" s="6">
        <v>1105</v>
      </c>
      <c r="G19" s="7">
        <v>5.62</v>
      </c>
      <c r="H19" s="8">
        <v>1420</v>
      </c>
      <c r="I19" s="6">
        <v>3970</v>
      </c>
      <c r="J19" s="7">
        <v>0.25</v>
      </c>
      <c r="K19" s="5">
        <v>129</v>
      </c>
      <c r="L19" s="5">
        <v>16.8</v>
      </c>
      <c r="M19" s="9">
        <v>67000</v>
      </c>
      <c r="O19" s="19"/>
      <c r="P19" s="19"/>
      <c r="Q19" s="11"/>
    </row>
    <row r="20" spans="1:17" x14ac:dyDescent="0.3">
      <c r="A20" s="29" t="s">
        <v>25</v>
      </c>
      <c r="B20" s="30" t="s">
        <v>33</v>
      </c>
      <c r="C20" s="12">
        <f>C19*(1+VLOOKUP($A20,$O$3:$X$7,2,FALSE()))</f>
        <v>23064.959999999999</v>
      </c>
      <c r="D20" s="12">
        <f>D19*(1+VLOOKUP($A20,$O$3:$X$7,3,FALSE()))</f>
        <v>2613.5928000000004</v>
      </c>
      <c r="E20" s="13">
        <f>D20/C20*100</f>
        <v>11.331443020061602</v>
      </c>
      <c r="F20" s="12">
        <f>F19*(1+VLOOKUP($A20,$O$3:$X$7,4,FALSE()))</f>
        <v>1382.797</v>
      </c>
      <c r="G20" s="13">
        <f>F20/C20*100</f>
        <v>5.9952282596631425</v>
      </c>
      <c r="H20" s="14">
        <f>H19*(1+VLOOKUP($A20,$O$3:$X$7,5,FALSE()))</f>
        <v>1735.9499999999998</v>
      </c>
      <c r="I20" s="12">
        <f>I19*(1+VLOOKUP($A20,$O$3:$X$7,6,FALSE()))</f>
        <v>4272.5140000000001</v>
      </c>
      <c r="J20" s="15">
        <f>J19*(1+VLOOKUP($A20,$O$3:$X$7,7,FALSE()))</f>
        <v>0.22534999999999999</v>
      </c>
      <c r="K20" s="16">
        <f>K19*(1+VLOOKUP($A20,$O$3:$X$7,8,FALSE()))</f>
        <v>139.90049999999999</v>
      </c>
      <c r="L20" s="17">
        <f>L19*(1+VLOOKUP($A20,$O$3:$X$7,9,FALSE()))</f>
        <v>20.781600000000001</v>
      </c>
      <c r="M20" s="18">
        <f>M19*(1+VLOOKUP($A20,$O$3:$X$7,10,FALSE()))</f>
        <v>75864.100000000006</v>
      </c>
      <c r="O20" s="19"/>
      <c r="P20" s="19"/>
      <c r="Q20" s="11"/>
    </row>
    <row r="21" spans="1:17" x14ac:dyDescent="0.3">
      <c r="A21" s="29" t="s">
        <v>25</v>
      </c>
      <c r="B21" s="30" t="s">
        <v>35</v>
      </c>
      <c r="C21" s="12">
        <f>C20*(1+VLOOKUP($A21,$O$3:$X$7,2,FALSE()))</f>
        <v>27032.133119999999</v>
      </c>
      <c r="D21" s="12">
        <f>D20*(1+VLOOKUP($A21,$O$3:$X$7,3,FALSE()))</f>
        <v>3127.6865037600005</v>
      </c>
      <c r="E21" s="13">
        <f>D21/C21*100</f>
        <v>11.570254148556074</v>
      </c>
      <c r="F21" s="12">
        <f>F20*(1+VLOOKUP($A21,$O$3:$X$7,4,FALSE()))</f>
        <v>1730.4321658000001</v>
      </c>
      <c r="G21" s="13">
        <f>F21/C21*100</f>
        <v>6.401389628107899</v>
      </c>
      <c r="H21" s="14">
        <f>H20*(1+VLOOKUP($A21,$O$3:$X$7,5,FALSE()))</f>
        <v>2122.1988749999996</v>
      </c>
      <c r="I21" s="12">
        <f>I20*(1+VLOOKUP($A21,$O$3:$X$7,6,FALSE()))</f>
        <v>4598.0795668000001</v>
      </c>
      <c r="J21" s="15">
        <f>J20*(1+VLOOKUP($A21,$O$3:$X$7,7,FALSE()))</f>
        <v>0.20313049</v>
      </c>
      <c r="K21" s="16">
        <f>K20*(1+VLOOKUP($A21,$O$3:$X$7,8,FALSE()))</f>
        <v>151.72209225</v>
      </c>
      <c r="L21" s="17">
        <f>L20*(1+VLOOKUP($A21,$O$3:$X$7,9,FALSE()))</f>
        <v>25.706839200000005</v>
      </c>
      <c r="M21" s="18">
        <f>M20*(1+VLOOKUP($A21,$O$3:$X$7,10,FALSE()))</f>
        <v>85900.920430000013</v>
      </c>
      <c r="O21" s="19"/>
      <c r="P21" s="19"/>
      <c r="Q21" s="11"/>
    </row>
    <row r="22" spans="1:17" x14ac:dyDescent="0.3">
      <c r="A22" s="29" t="s">
        <v>25</v>
      </c>
      <c r="B22" s="30" t="s">
        <v>36</v>
      </c>
      <c r="C22" s="12">
        <f>C21*(1+VLOOKUP($A22,$O$3:$X$7,2,FALSE()))</f>
        <v>31681.660016639995</v>
      </c>
      <c r="D22" s="12">
        <f>D21*(1+VLOOKUP($A22,$O$3:$X$7,3,FALSE()))</f>
        <v>3742.9024390495929</v>
      </c>
      <c r="E22" s="13">
        <f>D22/C22*100</f>
        <v>11.814098241959945</v>
      </c>
      <c r="F22" s="12">
        <f>F21*(1+VLOOKUP($A22,$O$3:$X$7,4,FALSE()))</f>
        <v>2165.4628122821205</v>
      </c>
      <c r="G22" s="13">
        <f>F22/C22*100</f>
        <v>6.8350673896025826</v>
      </c>
      <c r="H22" s="14">
        <f>H21*(1+VLOOKUP($A22,$O$3:$X$7,5,FALSE()))</f>
        <v>2594.3881246874994</v>
      </c>
      <c r="I22" s="12">
        <f>I21*(1+VLOOKUP($A22,$O$3:$X$7,6,FALSE()))</f>
        <v>4948.4532297901605</v>
      </c>
      <c r="J22" s="15">
        <f>J21*(1+VLOOKUP($A22,$O$3:$X$7,7,FALSE()))</f>
        <v>0.183101823686</v>
      </c>
      <c r="K22" s="16">
        <f>K21*(1+VLOOKUP($A22,$O$3:$X$7,8,FALSE()))</f>
        <v>164.542609045125</v>
      </c>
      <c r="L22" s="17">
        <f>L21*(1+VLOOKUP($A22,$O$3:$X$7,9,FALSE()))</f>
        <v>31.799360090400008</v>
      </c>
      <c r="M22" s="18">
        <f>M21*(1+VLOOKUP($A22,$O$3:$X$7,10,FALSE()))</f>
        <v>97265.612202889024</v>
      </c>
      <c r="O22" s="19"/>
      <c r="P22" s="19"/>
      <c r="Q22" s="11"/>
    </row>
    <row r="23" spans="1:17" x14ac:dyDescent="0.3">
      <c r="A23" s="29" t="s">
        <v>25</v>
      </c>
      <c r="B23" s="30" t="s">
        <v>37</v>
      </c>
      <c r="C23" s="12">
        <f>C22*(1+VLOOKUP($A23,$O$3:$X$7,2,FALSE()))</f>
        <v>37130.90553950207</v>
      </c>
      <c r="D23" s="12">
        <f>D22*(1+VLOOKUP($A23,$O$3:$X$7,3,FALSE()))</f>
        <v>4479.131348810648</v>
      </c>
      <c r="E23" s="13">
        <f>D23/C23*100</f>
        <v>12.063081370438114</v>
      </c>
      <c r="F23" s="12">
        <f>F22*(1+VLOOKUP($A23,$O$3:$X$7,4,FALSE()))</f>
        <v>2709.8601632898458</v>
      </c>
      <c r="G23" s="13">
        <f>F23/C23*100</f>
        <v>7.2981257093418721</v>
      </c>
      <c r="H23" s="14">
        <f>H22*(1+VLOOKUP($A23,$O$3:$X$7,5,FALSE()))</f>
        <v>3171.639482430468</v>
      </c>
      <c r="I23" s="12">
        <f>I22*(1+VLOOKUP($A23,$O$3:$X$7,6,FALSE()))</f>
        <v>5325.525365900171</v>
      </c>
      <c r="J23" s="15">
        <f>J22*(1+VLOOKUP($A23,$O$3:$X$7,7,FALSE()))</f>
        <v>0.16504798387056041</v>
      </c>
      <c r="K23" s="16">
        <f>K22*(1+VLOOKUP($A23,$O$3:$X$7,8,FALSE()))</f>
        <v>178.44645950943806</v>
      </c>
      <c r="L23" s="17">
        <f>L22*(1+VLOOKUP($A23,$O$3:$X$7,9,FALSE()))</f>
        <v>39.335808431824816</v>
      </c>
      <c r="M23" s="18">
        <f>M22*(1+VLOOKUP($A23,$O$3:$X$7,10,FALSE()))</f>
        <v>110133.85269733125</v>
      </c>
      <c r="O23" s="19"/>
      <c r="P23" s="19"/>
      <c r="Q23" s="11"/>
    </row>
    <row r="24" spans="1:17" x14ac:dyDescent="0.3">
      <c r="A24" s="29" t="s">
        <v>25</v>
      </c>
      <c r="B24" s="30" t="s">
        <v>38</v>
      </c>
      <c r="C24" s="12">
        <f>C23*(1+VLOOKUP($A24,$O$3:$X$7,2,FALSE()))</f>
        <v>43517.421292296422</v>
      </c>
      <c r="D24" s="12">
        <f>D23*(1+VLOOKUP($A24,$O$3:$X$7,3,FALSE()))</f>
        <v>5360.1764851217031</v>
      </c>
      <c r="E24" s="13">
        <f>D24/C24*100</f>
        <v>12.317311839593255</v>
      </c>
      <c r="F24" s="12">
        <f>F23*(1+VLOOKUP($A24,$O$3:$X$7,4,FALSE()))</f>
        <v>3391.1190083409133</v>
      </c>
      <c r="G24" s="13">
        <f>F24/C24*100</f>
        <v>7.7925550449406318</v>
      </c>
      <c r="H24" s="14">
        <f>H23*(1+VLOOKUP($A24,$O$3:$X$7,5,FALSE()))</f>
        <v>3877.3292672712469</v>
      </c>
      <c r="I24" s="12">
        <f>I23*(1+VLOOKUP($A24,$O$3:$X$7,6,FALSE()))</f>
        <v>5731.3303987817644</v>
      </c>
      <c r="J24" s="15">
        <f>J23*(1+VLOOKUP($A24,$O$3:$X$7,7,FALSE()))</f>
        <v>0.14877425266092315</v>
      </c>
      <c r="K24" s="16">
        <f>K23*(1+VLOOKUP($A24,$O$3:$X$7,8,FALSE()))</f>
        <v>193.52518533798559</v>
      </c>
      <c r="L24" s="17">
        <f>L23*(1+VLOOKUP($A24,$O$3:$X$7,9,FALSE()))</f>
        <v>48.658395030167299</v>
      </c>
      <c r="M24" s="18">
        <f>M23*(1+VLOOKUP($A24,$O$3:$X$7,10,FALSE()))</f>
        <v>124704.56140918819</v>
      </c>
      <c r="O24" s="19"/>
      <c r="P24" s="19"/>
      <c r="Q24" s="11"/>
    </row>
    <row r="25" spans="1:17" x14ac:dyDescent="0.3">
      <c r="A25" s="20" t="s">
        <v>27</v>
      </c>
      <c r="B25" s="5" t="s">
        <v>23</v>
      </c>
      <c r="C25" s="6">
        <v>3050</v>
      </c>
      <c r="D25" s="6">
        <v>580</v>
      </c>
      <c r="E25" s="7">
        <v>19.02</v>
      </c>
      <c r="F25" s="6">
        <v>245</v>
      </c>
      <c r="G25" s="7">
        <v>8.0299999999999994</v>
      </c>
      <c r="H25" s="8">
        <v>330</v>
      </c>
      <c r="I25" s="6">
        <v>1280</v>
      </c>
      <c r="J25" s="7">
        <v>0.48</v>
      </c>
      <c r="K25" s="5">
        <v>118</v>
      </c>
      <c r="L25" s="5">
        <v>8.6999999999999993</v>
      </c>
      <c r="M25" s="9">
        <v>9100</v>
      </c>
    </row>
    <row r="26" spans="1:17" x14ac:dyDescent="0.3">
      <c r="A26" s="20" t="s">
        <v>27</v>
      </c>
      <c r="B26" s="5" t="s">
        <v>24</v>
      </c>
      <c r="C26" s="6">
        <v>3480</v>
      </c>
      <c r="D26" s="6">
        <v>678</v>
      </c>
      <c r="E26" s="7">
        <v>19.48</v>
      </c>
      <c r="F26" s="6">
        <v>292</v>
      </c>
      <c r="G26" s="7">
        <v>8.39</v>
      </c>
      <c r="H26" s="8">
        <v>386</v>
      </c>
      <c r="I26" s="6">
        <v>1350</v>
      </c>
      <c r="J26" s="7">
        <v>0.44</v>
      </c>
      <c r="K26" s="5">
        <v>126</v>
      </c>
      <c r="L26" s="5">
        <v>10.3</v>
      </c>
      <c r="M26" s="9">
        <v>10200</v>
      </c>
    </row>
    <row r="27" spans="1:17" x14ac:dyDescent="0.3">
      <c r="A27" s="20" t="s">
        <v>27</v>
      </c>
      <c r="B27" s="5" t="s">
        <v>26</v>
      </c>
      <c r="C27" s="6">
        <v>4010</v>
      </c>
      <c r="D27" s="6">
        <v>798</v>
      </c>
      <c r="E27" s="7">
        <v>19.899999999999999</v>
      </c>
      <c r="F27" s="6">
        <v>346</v>
      </c>
      <c r="G27" s="7">
        <v>8.6300000000000008</v>
      </c>
      <c r="H27" s="8">
        <v>452</v>
      </c>
      <c r="I27" s="6">
        <v>1440</v>
      </c>
      <c r="J27" s="7">
        <v>0.41</v>
      </c>
      <c r="K27" s="5">
        <v>136</v>
      </c>
      <c r="L27" s="5">
        <v>12.1</v>
      </c>
      <c r="M27" s="9">
        <v>11600</v>
      </c>
    </row>
    <row r="28" spans="1:17" x14ac:dyDescent="0.3">
      <c r="A28" s="20" t="s">
        <v>27</v>
      </c>
      <c r="B28" s="5" t="s">
        <v>28</v>
      </c>
      <c r="C28" s="6">
        <v>4620</v>
      </c>
      <c r="D28" s="6">
        <v>942</v>
      </c>
      <c r="E28" s="7">
        <v>20.39</v>
      </c>
      <c r="F28" s="6">
        <v>416</v>
      </c>
      <c r="G28" s="7">
        <v>9</v>
      </c>
      <c r="H28" s="8">
        <v>535</v>
      </c>
      <c r="I28" s="6">
        <v>1545</v>
      </c>
      <c r="J28" s="7">
        <v>0.37</v>
      </c>
      <c r="K28" s="5">
        <v>148</v>
      </c>
      <c r="L28" s="5">
        <v>14.5</v>
      </c>
      <c r="M28" s="9">
        <v>13200</v>
      </c>
    </row>
    <row r="29" spans="1:17" x14ac:dyDescent="0.3">
      <c r="A29" s="20" t="s">
        <v>27</v>
      </c>
      <c r="B29" s="5" t="s">
        <v>30</v>
      </c>
      <c r="C29" s="6">
        <v>5320</v>
      </c>
      <c r="D29" s="6">
        <v>1117</v>
      </c>
      <c r="E29" s="7">
        <v>21</v>
      </c>
      <c r="F29" s="6">
        <v>505</v>
      </c>
      <c r="G29" s="7">
        <v>9.49</v>
      </c>
      <c r="H29" s="8">
        <v>635</v>
      </c>
      <c r="I29" s="6">
        <v>1660</v>
      </c>
      <c r="J29" s="7">
        <v>0.34</v>
      </c>
      <c r="K29" s="5">
        <v>161</v>
      </c>
      <c r="L29" s="5">
        <v>17.600000000000001</v>
      </c>
      <c r="M29" s="9">
        <v>14900</v>
      </c>
    </row>
    <row r="30" spans="1:17" x14ac:dyDescent="0.3">
      <c r="A30" s="20" t="s">
        <v>27</v>
      </c>
      <c r="B30" s="5" t="s">
        <v>32</v>
      </c>
      <c r="C30" s="6">
        <v>6120</v>
      </c>
      <c r="D30" s="6">
        <v>1305</v>
      </c>
      <c r="E30" s="7">
        <v>21.32</v>
      </c>
      <c r="F30" s="6">
        <v>602</v>
      </c>
      <c r="G30" s="7">
        <v>9.84</v>
      </c>
      <c r="H30" s="8">
        <v>748</v>
      </c>
      <c r="I30" s="6">
        <v>1785</v>
      </c>
      <c r="J30" s="7">
        <v>0.31</v>
      </c>
      <c r="K30" s="5">
        <v>176</v>
      </c>
      <c r="L30" s="5">
        <v>20.9</v>
      </c>
      <c r="M30" s="9">
        <v>16800</v>
      </c>
    </row>
    <row r="31" spans="1:17" x14ac:dyDescent="0.3">
      <c r="A31" s="29" t="s">
        <v>27</v>
      </c>
      <c r="B31" s="30" t="s">
        <v>33</v>
      </c>
      <c r="C31" s="12">
        <f>C30*(1+VLOOKUP($A31,$O$3:$X$7,2,FALSE()))</f>
        <v>7034.94</v>
      </c>
      <c r="D31" s="12">
        <f>D30*(1+VLOOKUP($A31,$O$3:$X$7,3,FALSE()))</f>
        <v>1534.8104999999998</v>
      </c>
      <c r="E31" s="13">
        <f>D31/C31*100</f>
        <v>21.81696645600389</v>
      </c>
      <c r="F31" s="12">
        <f>F30*(1+VLOOKUP($A31,$O$3:$X$7,4,FALSE()))</f>
        <v>720.59400000000005</v>
      </c>
      <c r="G31" s="13">
        <f>F31/C31*100</f>
        <v>10.243072435585805</v>
      </c>
      <c r="H31" s="14">
        <f>H30*(1+VLOOKUP($A31,$O$3:$X$7,5,FALSE()))</f>
        <v>880.99439999999993</v>
      </c>
      <c r="I31" s="12">
        <f>I30*(1+VLOOKUP($A31,$O$3:$X$7,6,FALSE()))</f>
        <v>1907.808</v>
      </c>
      <c r="J31" s="15">
        <f>J30*(1+VLOOKUP($A31,$O$3:$X$7,7,FALSE()))</f>
        <v>0.284053</v>
      </c>
      <c r="K31" s="16">
        <f>K30*(1+VLOOKUP($A31,$O$3:$X$7,8,FALSE()))</f>
        <v>190.64319999999998</v>
      </c>
      <c r="L31" s="17">
        <f>L30*(1+VLOOKUP($A31,$O$3:$X$7,9,FALSE()))</f>
        <v>24.904439999999997</v>
      </c>
      <c r="M31" s="18">
        <f>M30*(1+VLOOKUP($A31,$O$3:$X$7,10,FALSE()))</f>
        <v>18992.400000000001</v>
      </c>
    </row>
    <row r="32" spans="1:17" x14ac:dyDescent="0.3">
      <c r="A32" s="29" t="s">
        <v>27</v>
      </c>
      <c r="B32" s="30" t="s">
        <v>35</v>
      </c>
      <c r="C32" s="12">
        <f>C31*(1+VLOOKUP($A32,$O$3:$X$7,2,FALSE()))</f>
        <v>8086.6635299999989</v>
      </c>
      <c r="D32" s="12">
        <f>D31*(1+VLOOKUP($A32,$O$3:$X$7,3,FALSE()))</f>
        <v>1805.0906290499997</v>
      </c>
      <c r="E32" s="13">
        <f>D32/C32*100</f>
        <v>22.321821878126293</v>
      </c>
      <c r="F32" s="12">
        <f>F31*(1+VLOOKUP($A32,$O$3:$X$7,4,FALSE()))</f>
        <v>862.55101800000011</v>
      </c>
      <c r="G32" s="13">
        <f>F32/C32*100</f>
        <v>10.666339891601751</v>
      </c>
      <c r="H32" s="14">
        <f>H31*(1+VLOOKUP($A32,$O$3:$X$7,5,FALSE()))</f>
        <v>1037.63520432</v>
      </c>
      <c r="I32" s="12">
        <f>I31*(1+VLOOKUP($A32,$O$3:$X$7,6,FALSE()))</f>
        <v>2039.0651903999999</v>
      </c>
      <c r="J32" s="15">
        <f>J31*(1+VLOOKUP($A32,$O$3:$X$7,7,FALSE()))</f>
        <v>0.26027776390000001</v>
      </c>
      <c r="K32" s="16">
        <f>K31*(1+VLOOKUP($A32,$O$3:$X$7,8,FALSE()))</f>
        <v>206.50471423999997</v>
      </c>
      <c r="L32" s="17">
        <f>L31*(1+VLOOKUP($A32,$O$3:$X$7,9,FALSE()))</f>
        <v>29.676130703999998</v>
      </c>
      <c r="M32" s="18">
        <f>M31*(1+VLOOKUP($A32,$O$3:$X$7,10,FALSE()))</f>
        <v>21470.908200000002</v>
      </c>
    </row>
    <row r="33" spans="1:13" x14ac:dyDescent="0.3">
      <c r="A33" s="29" t="s">
        <v>27</v>
      </c>
      <c r="B33" s="30" t="s">
        <v>36</v>
      </c>
      <c r="C33" s="12">
        <f>C32*(1+VLOOKUP($A33,$O$3:$X$7,2,FALSE()))</f>
        <v>9295.6197277349984</v>
      </c>
      <c r="D33" s="12">
        <f>D32*(1+VLOOKUP($A33,$O$3:$X$7,3,FALSE()))</f>
        <v>2122.9670888257046</v>
      </c>
      <c r="E33" s="13">
        <f>D33/C33*100</f>
        <v>22.838359905058141</v>
      </c>
      <c r="F33" s="12">
        <f>F32*(1+VLOOKUP($A33,$O$3:$X$7,4,FALSE()))</f>
        <v>1032.4735685460003</v>
      </c>
      <c r="G33" s="13">
        <f>F33/C33*100</f>
        <v>11.107097738362153</v>
      </c>
      <c r="H33" s="14">
        <f>H32*(1+VLOOKUP($A33,$O$3:$X$7,5,FALSE()))</f>
        <v>1222.126743648096</v>
      </c>
      <c r="I33" s="12">
        <f>I32*(1+VLOOKUP($A33,$O$3:$X$7,6,FALSE()))</f>
        <v>2179.35287549952</v>
      </c>
      <c r="J33" s="15">
        <f>J32*(1+VLOOKUP($A33,$O$3:$X$7,7,FALSE()))</f>
        <v>0.23849251506157002</v>
      </c>
      <c r="K33" s="16">
        <f>K32*(1+VLOOKUP($A33,$O$3:$X$7,8,FALSE()))</f>
        <v>223.68590646476795</v>
      </c>
      <c r="L33" s="17">
        <f>L32*(1+VLOOKUP($A33,$O$3:$X$7,9,FALSE()))</f>
        <v>35.362077346886394</v>
      </c>
      <c r="M33" s="18">
        <f>M32*(1+VLOOKUP($A33,$O$3:$X$7,10,FALSE()))</f>
        <v>24272.861720100002</v>
      </c>
    </row>
    <row r="34" spans="1:13" x14ac:dyDescent="0.3">
      <c r="A34" s="29" t="s">
        <v>27</v>
      </c>
      <c r="B34" s="30" t="s">
        <v>37</v>
      </c>
      <c r="C34" s="12">
        <f>C33*(1+VLOOKUP($A34,$O$3:$X$7,2,FALSE()))</f>
        <v>10685.31487703138</v>
      </c>
      <c r="D34" s="12">
        <f>D33*(1+VLOOKUP($A34,$O$3:$X$7,3,FALSE()))</f>
        <v>2496.821593167911</v>
      </c>
      <c r="E34" s="13">
        <f>D34/C34*100</f>
        <v>23.366850878067751</v>
      </c>
      <c r="F34" s="12">
        <f>F33*(1+VLOOKUP($A34,$O$3:$X$7,4,FALSE()))</f>
        <v>1235.8708615495623</v>
      </c>
      <c r="G34" s="13">
        <f>F34/C34*100</f>
        <v>11.566068719286211</v>
      </c>
      <c r="H34" s="14">
        <f>H33*(1+VLOOKUP($A34,$O$3:$X$7,5,FALSE()))</f>
        <v>1439.4208786687273</v>
      </c>
      <c r="I34" s="12">
        <f>I33*(1+VLOOKUP($A34,$O$3:$X$7,6,FALSE()))</f>
        <v>2329.2923533338867</v>
      </c>
      <c r="J34" s="15">
        <f>J33*(1+VLOOKUP($A34,$O$3:$X$7,7,FALSE()))</f>
        <v>0.21853069155091662</v>
      </c>
      <c r="K34" s="16">
        <f>K33*(1+VLOOKUP($A34,$O$3:$X$7,8,FALSE()))</f>
        <v>242.29657388263664</v>
      </c>
      <c r="L34" s="17">
        <f>L33*(1+VLOOKUP($A34,$O$3:$X$7,9,FALSE()))</f>
        <v>42.137451366549826</v>
      </c>
      <c r="M34" s="18">
        <f>M33*(1+VLOOKUP($A34,$O$3:$X$7,10,FALSE()))</f>
        <v>27440.470174573053</v>
      </c>
    </row>
    <row r="35" spans="1:13" x14ac:dyDescent="0.3">
      <c r="A35" s="29" t="s">
        <v>27</v>
      </c>
      <c r="B35" s="30" t="s">
        <v>38</v>
      </c>
      <c r="C35" s="12">
        <f>C34*(1+VLOOKUP($A35,$O$3:$X$7,2,FALSE()))</f>
        <v>12282.769451147571</v>
      </c>
      <c r="D35" s="12">
        <f>D34*(1+VLOOKUP($A35,$O$3:$X$7,3,FALSE()))</f>
        <v>2936.5118757247801</v>
      </c>
      <c r="E35" s="13">
        <f>D35/C35*100</f>
        <v>23.907571394254443</v>
      </c>
      <c r="F35" s="12">
        <f>F34*(1+VLOOKUP($A35,$O$3:$X$7,4,FALSE()))</f>
        <v>1479.3374212748261</v>
      </c>
      <c r="G35" s="13">
        <f>F35/C35*100</f>
        <v>12.044005443223659</v>
      </c>
      <c r="H35" s="14">
        <f>H34*(1+VLOOKUP($A35,$O$3:$X$7,5,FALSE()))</f>
        <v>1695.3499108960268</v>
      </c>
      <c r="I35" s="12">
        <f>I34*(1+VLOOKUP($A35,$O$3:$X$7,6,FALSE()))</f>
        <v>2489.5476672432578</v>
      </c>
      <c r="J35" s="15">
        <f>J34*(1+VLOOKUP($A35,$O$3:$X$7,7,FALSE()))</f>
        <v>0.20023967266810488</v>
      </c>
      <c r="K35" s="16">
        <f>K34*(1+VLOOKUP($A35,$O$3:$X$7,8,FALSE()))</f>
        <v>262.45564882967199</v>
      </c>
      <c r="L35" s="17">
        <f>L34*(1+VLOOKUP($A35,$O$3:$X$7,9,FALSE()))</f>
        <v>50.210987048380773</v>
      </c>
      <c r="M35" s="18">
        <f>M34*(1+VLOOKUP($A35,$O$3:$X$7,10,FALSE()))</f>
        <v>31021.451532354837</v>
      </c>
    </row>
    <row r="36" spans="1:13" x14ac:dyDescent="0.3">
      <c r="A36" s="20" t="s">
        <v>29</v>
      </c>
      <c r="B36" s="5" t="s">
        <v>23</v>
      </c>
      <c r="C36" s="6">
        <v>6450</v>
      </c>
      <c r="D36" s="6">
        <v>2193</v>
      </c>
      <c r="E36" s="7">
        <v>34</v>
      </c>
      <c r="F36" s="6">
        <v>525</v>
      </c>
      <c r="G36" s="7">
        <v>8.14</v>
      </c>
      <c r="H36" s="8">
        <v>840</v>
      </c>
      <c r="I36" s="6">
        <v>11250</v>
      </c>
      <c r="J36" s="7">
        <v>1.65</v>
      </c>
      <c r="K36" s="5">
        <v>76</v>
      </c>
      <c r="L36" s="5">
        <v>4.0999999999999996</v>
      </c>
      <c r="M36" s="9">
        <v>24700</v>
      </c>
    </row>
    <row r="37" spans="1:13" x14ac:dyDescent="0.3">
      <c r="A37" s="20" t="s">
        <v>29</v>
      </c>
      <c r="B37" s="5" t="s">
        <v>24</v>
      </c>
      <c r="C37" s="6">
        <v>7120</v>
      </c>
      <c r="D37" s="6">
        <v>2463</v>
      </c>
      <c r="E37" s="7">
        <v>34.6</v>
      </c>
      <c r="F37" s="6">
        <v>618</v>
      </c>
      <c r="G37" s="7">
        <v>8.68</v>
      </c>
      <c r="H37" s="8">
        <v>960</v>
      </c>
      <c r="I37" s="6">
        <v>11680</v>
      </c>
      <c r="J37" s="7">
        <v>1.56</v>
      </c>
      <c r="K37" s="5">
        <v>82</v>
      </c>
      <c r="L37" s="5">
        <v>4.9000000000000004</v>
      </c>
      <c r="M37" s="9">
        <v>26500</v>
      </c>
    </row>
    <row r="38" spans="1:13" x14ac:dyDescent="0.3">
      <c r="A38" s="20" t="s">
        <v>29</v>
      </c>
      <c r="B38" s="5" t="s">
        <v>26</v>
      </c>
      <c r="C38" s="6">
        <v>7890</v>
      </c>
      <c r="D38" s="6">
        <v>2762</v>
      </c>
      <c r="E38" s="7">
        <v>35</v>
      </c>
      <c r="F38" s="6">
        <v>735</v>
      </c>
      <c r="G38" s="7">
        <v>9.32</v>
      </c>
      <c r="H38" s="8">
        <v>1115</v>
      </c>
      <c r="I38" s="6">
        <v>12150</v>
      </c>
      <c r="J38" s="7">
        <v>1.47</v>
      </c>
      <c r="K38" s="5">
        <v>89</v>
      </c>
      <c r="L38" s="5">
        <v>5.9</v>
      </c>
      <c r="M38" s="9">
        <v>28800</v>
      </c>
    </row>
    <row r="39" spans="1:13" x14ac:dyDescent="0.3">
      <c r="A39" s="20" t="s">
        <v>29</v>
      </c>
      <c r="B39" s="5" t="s">
        <v>28</v>
      </c>
      <c r="C39" s="6">
        <v>8740</v>
      </c>
      <c r="D39" s="6">
        <v>3103</v>
      </c>
      <c r="E39" s="7">
        <v>35.5</v>
      </c>
      <c r="F39" s="6">
        <v>872</v>
      </c>
      <c r="G39" s="7">
        <v>9.98</v>
      </c>
      <c r="H39" s="8">
        <v>1295</v>
      </c>
      <c r="I39" s="6">
        <v>12690</v>
      </c>
      <c r="J39" s="7">
        <v>1.39</v>
      </c>
      <c r="K39" s="5">
        <v>98</v>
      </c>
      <c r="L39" s="5">
        <v>7</v>
      </c>
      <c r="M39" s="9">
        <v>31400</v>
      </c>
    </row>
    <row r="40" spans="1:13" x14ac:dyDescent="0.3">
      <c r="A40" s="20" t="s">
        <v>29</v>
      </c>
      <c r="B40" s="5" t="s">
        <v>30</v>
      </c>
      <c r="C40" s="6">
        <v>9690</v>
      </c>
      <c r="D40" s="6">
        <v>3498</v>
      </c>
      <c r="E40" s="7">
        <v>36.1</v>
      </c>
      <c r="F40" s="6">
        <v>1035</v>
      </c>
      <c r="G40" s="7">
        <v>10.68</v>
      </c>
      <c r="H40" s="8">
        <v>1505</v>
      </c>
      <c r="I40" s="6">
        <v>13280</v>
      </c>
      <c r="J40" s="7">
        <v>1.3</v>
      </c>
      <c r="K40" s="5">
        <v>108</v>
      </c>
      <c r="L40" s="5">
        <v>8.3000000000000007</v>
      </c>
      <c r="M40" s="9">
        <v>34300</v>
      </c>
    </row>
    <row r="41" spans="1:13" x14ac:dyDescent="0.3">
      <c r="A41" s="20" t="s">
        <v>29</v>
      </c>
      <c r="B41" s="5" t="s">
        <v>32</v>
      </c>
      <c r="C41" s="6">
        <v>10750</v>
      </c>
      <c r="D41" s="6">
        <v>3913</v>
      </c>
      <c r="E41" s="7">
        <v>36.4</v>
      </c>
      <c r="F41" s="6">
        <v>1215</v>
      </c>
      <c r="G41" s="7">
        <v>11.3</v>
      </c>
      <c r="H41" s="8">
        <v>1730</v>
      </c>
      <c r="I41" s="6">
        <v>13920</v>
      </c>
      <c r="J41" s="7">
        <v>1.22</v>
      </c>
      <c r="K41" s="5">
        <v>119</v>
      </c>
      <c r="L41" s="5">
        <v>9.8000000000000007</v>
      </c>
      <c r="M41" s="9">
        <v>37500</v>
      </c>
    </row>
    <row r="42" spans="1:13" x14ac:dyDescent="0.3">
      <c r="A42" s="29" t="s">
        <v>29</v>
      </c>
      <c r="B42" s="30" t="s">
        <v>33</v>
      </c>
      <c r="C42" s="12">
        <f>C41*(1+VLOOKUP($A42,$O$3:$X$7,2,FALSE()))</f>
        <v>11906.699999999999</v>
      </c>
      <c r="D42" s="12">
        <f>D41*(1+VLOOKUP($A42,$O$3:$X$7,3,FALSE()))</f>
        <v>4393.5164000000004</v>
      </c>
      <c r="E42" s="13">
        <f>D42/C42*100</f>
        <v>36.89953051643193</v>
      </c>
      <c r="F42" s="12">
        <f>F41*(1+VLOOKUP($A42,$O$3:$X$7,4,FALSE()))</f>
        <v>1436.9805000000001</v>
      </c>
      <c r="G42" s="13">
        <f>F42/C42*100</f>
        <v>12.068671420292779</v>
      </c>
      <c r="H42" s="14">
        <f>H41*(1+VLOOKUP($A42,$O$3:$X$7,5,FALSE()))</f>
        <v>1999.0149999999999</v>
      </c>
      <c r="I42" s="12">
        <f>I41*(1+VLOOKUP($A42,$O$3:$X$7,6,FALSE()))</f>
        <v>14525.52</v>
      </c>
      <c r="J42" s="15">
        <f>J41*(1+VLOOKUP($A42,$O$3:$X$7,7,FALSE()))</f>
        <v>1.1485080000000001</v>
      </c>
      <c r="K42" s="16">
        <f>K41*(1+VLOOKUP($A42,$O$3:$X$7,8,FALSE()))</f>
        <v>130.16219999999998</v>
      </c>
      <c r="L42" s="17">
        <f>L41*(1+VLOOKUP($A42,$O$3:$X$7,9,FALSE()))</f>
        <v>11.66592</v>
      </c>
      <c r="M42" s="18">
        <f>M41*(1+VLOOKUP($A42,$O$3:$X$7,10,FALSE()))</f>
        <v>40766.25</v>
      </c>
    </row>
    <row r="43" spans="1:13" x14ac:dyDescent="0.3">
      <c r="A43" s="29" t="s">
        <v>29</v>
      </c>
      <c r="B43" s="30" t="s">
        <v>35</v>
      </c>
      <c r="C43" s="12">
        <f>C42*(1+VLOOKUP($A43,$O$3:$X$7,2,FALSE()))</f>
        <v>13187.860919999997</v>
      </c>
      <c r="D43" s="12">
        <f>D42*(1+VLOOKUP($A43,$O$3:$X$7,3,FALSE()))</f>
        <v>4933.0402139200005</v>
      </c>
      <c r="E43" s="13">
        <f>D43/C43*100</f>
        <v>37.405916272887126</v>
      </c>
      <c r="F43" s="12">
        <f>F42*(1+VLOOKUP($A43,$O$3:$X$7,4,FALSE()))</f>
        <v>1699.5168373500003</v>
      </c>
      <c r="G43" s="13">
        <f>F43/C43*100</f>
        <v>12.886978772824371</v>
      </c>
      <c r="H43" s="14">
        <f>H42*(1+VLOOKUP($A43,$O$3:$X$7,5,FALSE()))</f>
        <v>2309.8618324999998</v>
      </c>
      <c r="I43" s="12">
        <f>I42*(1+VLOOKUP($A43,$O$3:$X$7,6,FALSE()))</f>
        <v>15157.380120000002</v>
      </c>
      <c r="J43" s="15">
        <f>J42*(1+VLOOKUP($A43,$O$3:$X$7,7,FALSE()))</f>
        <v>1.0812054312000001</v>
      </c>
      <c r="K43" s="16">
        <f>K42*(1+VLOOKUP($A43,$O$3:$X$7,8,FALSE()))</f>
        <v>142.37141435999996</v>
      </c>
      <c r="L43" s="17">
        <f>L42*(1+VLOOKUP($A43,$O$3:$X$7,9,FALSE()))</f>
        <v>13.887111167999999</v>
      </c>
      <c r="M43" s="18">
        <f>M42*(1+VLOOKUP($A43,$O$3:$X$7,10,FALSE()))</f>
        <v>44316.990375000001</v>
      </c>
    </row>
    <row r="44" spans="1:13" x14ac:dyDescent="0.3">
      <c r="A44" s="29" t="s">
        <v>29</v>
      </c>
      <c r="B44" s="30" t="s">
        <v>36</v>
      </c>
      <c r="C44" s="12">
        <f>C43*(1+VLOOKUP($A44,$O$3:$X$7,2,FALSE()))</f>
        <v>14606.874754991995</v>
      </c>
      <c r="D44" s="12">
        <f>D43*(1+VLOOKUP($A44,$O$3:$X$7,3,FALSE()))</f>
        <v>5538.8175521893763</v>
      </c>
      <c r="E44" s="13">
        <f>D44/C44*100</f>
        <v>37.91925134633231</v>
      </c>
      <c r="F44" s="12">
        <f>F43*(1+VLOOKUP($A44,$O$3:$X$7,4,FALSE()))</f>
        <v>2010.0185635338455</v>
      </c>
      <c r="G44" s="13">
        <f>F44/C44*100</f>
        <v>13.760770851046756</v>
      </c>
      <c r="H44" s="14">
        <f>H43*(1+VLOOKUP($A44,$O$3:$X$7,5,FALSE()))</f>
        <v>2669.0453474537499</v>
      </c>
      <c r="I44" s="12">
        <f>I43*(1+VLOOKUP($A44,$O$3:$X$7,6,FALSE()))</f>
        <v>15816.726155220003</v>
      </c>
      <c r="J44" s="15">
        <f>J43*(1+VLOOKUP($A44,$O$3:$X$7,7,FALSE()))</f>
        <v>1.0178467929316801</v>
      </c>
      <c r="K44" s="16">
        <f>K43*(1+VLOOKUP($A44,$O$3:$X$7,8,FALSE()))</f>
        <v>155.72585302696794</v>
      </c>
      <c r="L44" s="17">
        <f>L43*(1+VLOOKUP($A44,$O$3:$X$7,9,FALSE()))</f>
        <v>16.531217134387198</v>
      </c>
      <c r="M44" s="18">
        <f>M43*(1+VLOOKUP($A44,$O$3:$X$7,10,FALSE()))</f>
        <v>48177.000236662498</v>
      </c>
    </row>
    <row r="45" spans="1:13" x14ac:dyDescent="0.3">
      <c r="A45" s="29" t="s">
        <v>29</v>
      </c>
      <c r="B45" s="30" t="s">
        <v>37</v>
      </c>
      <c r="C45" s="12">
        <f>C44*(1+VLOOKUP($A45,$O$3:$X$7,2,FALSE()))</f>
        <v>16178.574478629132</v>
      </c>
      <c r="D45" s="12">
        <f>D44*(1+VLOOKUP($A45,$O$3:$X$7,3,FALSE()))</f>
        <v>6218.9843475982316</v>
      </c>
      <c r="E45" s="13">
        <f>D45/C45*100</f>
        <v>38.439631104786855</v>
      </c>
      <c r="F45" s="12">
        <f>F44*(1+VLOOKUP($A45,$O$3:$X$7,4,FALSE()))</f>
        <v>2377.2489550914793</v>
      </c>
      <c r="G45" s="13">
        <f>F45/C45*100</f>
        <v>14.693809755808051</v>
      </c>
      <c r="H45" s="14">
        <f>H44*(1+VLOOKUP($A45,$O$3:$X$7,5,FALSE()))</f>
        <v>3084.0818989828081</v>
      </c>
      <c r="I45" s="12">
        <f>I44*(1+VLOOKUP($A45,$O$3:$X$7,6,FALSE()))</f>
        <v>16504.753742972076</v>
      </c>
      <c r="J45" s="15">
        <f>J44*(1+VLOOKUP($A45,$O$3:$X$7,7,FALSE()))</f>
        <v>0.95820097086588363</v>
      </c>
      <c r="K45" s="16">
        <f>K44*(1+VLOOKUP($A45,$O$3:$X$7,8,FALSE()))</f>
        <v>170.33293804089752</v>
      </c>
      <c r="L45" s="17">
        <f>L44*(1+VLOOKUP($A45,$O$3:$X$7,9,FALSE()))</f>
        <v>19.678760876774518</v>
      </c>
      <c r="M45" s="18">
        <f>M44*(1+VLOOKUP($A45,$O$3:$X$7,10,FALSE()))</f>
        <v>52373.216957275799</v>
      </c>
    </row>
    <row r="46" spans="1:13" x14ac:dyDescent="0.3">
      <c r="A46" s="29" t="s">
        <v>29</v>
      </c>
      <c r="B46" s="30" t="s">
        <v>38</v>
      </c>
      <c r="C46" s="12">
        <f>C45*(1+VLOOKUP($A46,$O$3:$X$7,2,FALSE()))</f>
        <v>17919.389092529625</v>
      </c>
      <c r="D46" s="12">
        <f>D45*(1+VLOOKUP($A46,$O$3:$X$7,3,FALSE()))</f>
        <v>6982.6756254832944</v>
      </c>
      <c r="E46" s="13">
        <f>D46/C46*100</f>
        <v>38.967152225040344</v>
      </c>
      <c r="F46" s="12">
        <f>F45*(1+VLOOKUP($A46,$O$3:$X$7,4,FALSE()))</f>
        <v>2811.5723391866927</v>
      </c>
      <c r="G46" s="13">
        <f>F46/C46*100</f>
        <v>15.690112674425954</v>
      </c>
      <c r="H46" s="14">
        <f>H45*(1+VLOOKUP($A46,$O$3:$X$7,5,FALSE()))</f>
        <v>3563.6566342746346</v>
      </c>
      <c r="I46" s="12">
        <f>I45*(1+VLOOKUP($A46,$O$3:$X$7,6,FALSE()))</f>
        <v>17222.710530791363</v>
      </c>
      <c r="J46" s="15">
        <f>J45*(1+VLOOKUP($A46,$O$3:$X$7,7,FALSE()))</f>
        <v>0.90205039397314291</v>
      </c>
      <c r="K46" s="16">
        <f>K45*(1+VLOOKUP($A46,$O$3:$X$7,8,FALSE()))</f>
        <v>186.31016762913367</v>
      </c>
      <c r="L46" s="17">
        <f>L45*(1+VLOOKUP($A46,$O$3:$X$7,9,FALSE()))</f>
        <v>23.425596947712386</v>
      </c>
      <c r="M46" s="18">
        <f>M45*(1+VLOOKUP($A46,$O$3:$X$7,10,FALSE()))</f>
        <v>56934.924154254521</v>
      </c>
    </row>
    <row r="47" spans="1:13" x14ac:dyDescent="0.3">
      <c r="A47" s="20" t="s">
        <v>31</v>
      </c>
      <c r="B47" s="5" t="s">
        <v>23</v>
      </c>
      <c r="C47" s="6">
        <v>4120</v>
      </c>
      <c r="D47" s="6">
        <v>700</v>
      </c>
      <c r="E47" s="7">
        <v>16.989999999999998</v>
      </c>
      <c r="F47" s="6">
        <v>262</v>
      </c>
      <c r="G47" s="7">
        <v>6.36</v>
      </c>
      <c r="H47" s="8">
        <v>355</v>
      </c>
      <c r="I47" s="6">
        <v>1650</v>
      </c>
      <c r="J47" s="7">
        <v>0.57999999999999996</v>
      </c>
      <c r="K47" s="5">
        <v>104</v>
      </c>
      <c r="L47" s="5">
        <v>9.1999999999999993</v>
      </c>
      <c r="M47" s="9">
        <v>11800</v>
      </c>
    </row>
    <row r="48" spans="1:13" x14ac:dyDescent="0.3">
      <c r="A48" s="20" t="s">
        <v>31</v>
      </c>
      <c r="B48" s="5" t="s">
        <v>24</v>
      </c>
      <c r="C48" s="6">
        <v>4720</v>
      </c>
      <c r="D48" s="6">
        <v>826</v>
      </c>
      <c r="E48" s="7">
        <v>17.5</v>
      </c>
      <c r="F48" s="6">
        <v>322</v>
      </c>
      <c r="G48" s="7">
        <v>6.82</v>
      </c>
      <c r="H48" s="8">
        <v>432</v>
      </c>
      <c r="I48" s="6">
        <v>1760</v>
      </c>
      <c r="J48" s="7">
        <v>0.54</v>
      </c>
      <c r="K48" s="5">
        <v>113</v>
      </c>
      <c r="L48" s="5">
        <v>11.1</v>
      </c>
      <c r="M48" s="9">
        <v>13200</v>
      </c>
    </row>
    <row r="49" spans="1:13" x14ac:dyDescent="0.3">
      <c r="A49" s="20" t="s">
        <v>31</v>
      </c>
      <c r="B49" s="5" t="s">
        <v>26</v>
      </c>
      <c r="C49" s="6">
        <v>5430</v>
      </c>
      <c r="D49" s="6">
        <v>983</v>
      </c>
      <c r="E49" s="7">
        <v>18.100000000000001</v>
      </c>
      <c r="F49" s="6">
        <v>398</v>
      </c>
      <c r="G49" s="7">
        <v>7.33</v>
      </c>
      <c r="H49" s="8">
        <v>525</v>
      </c>
      <c r="I49" s="6">
        <v>1880</v>
      </c>
      <c r="J49" s="7">
        <v>0.49</v>
      </c>
      <c r="K49" s="5">
        <v>123</v>
      </c>
      <c r="L49" s="5">
        <v>13.5</v>
      </c>
      <c r="M49" s="9">
        <v>14900</v>
      </c>
    </row>
    <row r="50" spans="1:13" x14ac:dyDescent="0.3">
      <c r="A50" s="20" t="s">
        <v>31</v>
      </c>
      <c r="B50" s="5" t="s">
        <v>28</v>
      </c>
      <c r="C50" s="6">
        <v>6230</v>
      </c>
      <c r="D50" s="6">
        <v>1147</v>
      </c>
      <c r="E50" s="7">
        <v>18.41</v>
      </c>
      <c r="F50" s="6">
        <v>486</v>
      </c>
      <c r="G50" s="7">
        <v>7.8</v>
      </c>
      <c r="H50" s="8">
        <v>632</v>
      </c>
      <c r="I50" s="6">
        <v>2010</v>
      </c>
      <c r="J50" s="7">
        <v>0.45</v>
      </c>
      <c r="K50" s="5">
        <v>135</v>
      </c>
      <c r="L50" s="5">
        <v>16.2</v>
      </c>
      <c r="M50" s="9">
        <v>16800</v>
      </c>
    </row>
    <row r="51" spans="1:13" x14ac:dyDescent="0.3">
      <c r="A51" s="20" t="s">
        <v>31</v>
      </c>
      <c r="B51" s="5" t="s">
        <v>30</v>
      </c>
      <c r="C51" s="6">
        <v>7140</v>
      </c>
      <c r="D51" s="6">
        <v>1335</v>
      </c>
      <c r="E51" s="7">
        <v>18.7</v>
      </c>
      <c r="F51" s="6">
        <v>592</v>
      </c>
      <c r="G51" s="7">
        <v>8.2899999999999991</v>
      </c>
      <c r="H51" s="8">
        <v>755</v>
      </c>
      <c r="I51" s="6">
        <v>2150</v>
      </c>
      <c r="J51" s="7">
        <v>0.41</v>
      </c>
      <c r="K51" s="5">
        <v>148</v>
      </c>
      <c r="L51" s="5">
        <v>19.600000000000001</v>
      </c>
      <c r="M51" s="9">
        <v>19000</v>
      </c>
    </row>
    <row r="52" spans="1:13" x14ac:dyDescent="0.3">
      <c r="A52" s="20" t="s">
        <v>31</v>
      </c>
      <c r="B52" s="5" t="s">
        <v>32</v>
      </c>
      <c r="C52" s="6">
        <v>8160</v>
      </c>
      <c r="D52" s="6">
        <v>1542</v>
      </c>
      <c r="E52" s="7">
        <v>18.899999999999999</v>
      </c>
      <c r="F52" s="6">
        <v>715</v>
      </c>
      <c r="G52" s="7">
        <v>8.76</v>
      </c>
      <c r="H52" s="8">
        <v>896</v>
      </c>
      <c r="I52" s="6">
        <v>2310</v>
      </c>
      <c r="J52" s="7">
        <v>0.38</v>
      </c>
      <c r="K52" s="5">
        <v>163</v>
      </c>
      <c r="L52" s="5">
        <v>23.4</v>
      </c>
      <c r="M52" s="9">
        <v>21400</v>
      </c>
    </row>
    <row r="53" spans="1:13" x14ac:dyDescent="0.3">
      <c r="A53" s="29" t="s">
        <v>31</v>
      </c>
      <c r="B53" s="30" t="s">
        <v>33</v>
      </c>
      <c r="C53" s="12">
        <f>C52*(1+VLOOKUP($A53,$O$3:$X$7,2,FALSE()))</f>
        <v>9355.44</v>
      </c>
      <c r="D53" s="12">
        <f>D52*(1+VLOOKUP($A53,$O$3:$X$7,3,FALSE()))</f>
        <v>1805.8362</v>
      </c>
      <c r="E53" s="13">
        <f>D53/C53*100</f>
        <v>19.302525589389703</v>
      </c>
      <c r="F53" s="12">
        <f>F52*(1+VLOOKUP($A53,$O$3:$X$7,4,FALSE()))</f>
        <v>874.01599999999996</v>
      </c>
      <c r="G53" s="13">
        <f>F53/C53*100</f>
        <v>9.3423291689113501</v>
      </c>
      <c r="H53" s="14">
        <f>H52*(1+VLOOKUP($A53,$O$3:$X$7,5,FALSE()))</f>
        <v>1078.2464</v>
      </c>
      <c r="I53" s="12">
        <f>I52*(1+VLOOKUP($A53,$O$3:$X$7,6,FALSE()))</f>
        <v>2470.7759999999998</v>
      </c>
      <c r="J53" s="15">
        <f>J52*(1+VLOOKUP($A53,$O$3:$X$7,7,FALSE()))</f>
        <v>0.34918200000000005</v>
      </c>
      <c r="K53" s="16">
        <f>K52*(1+VLOOKUP($A53,$O$3:$X$7,8,FALSE()))</f>
        <v>178.322</v>
      </c>
      <c r="L53" s="17">
        <f>L52*(1+VLOOKUP($A53,$O$3:$X$7,9,FALSE()))</f>
        <v>28.20402</v>
      </c>
      <c r="M53" s="18">
        <f>M52*(1+VLOOKUP($A53,$O$3:$X$7,10,FALSE()))</f>
        <v>24104.960000000003</v>
      </c>
    </row>
    <row r="54" spans="1:13" x14ac:dyDescent="0.3">
      <c r="A54" s="29" t="s">
        <v>31</v>
      </c>
      <c r="B54" s="30" t="s">
        <v>35</v>
      </c>
      <c r="C54" s="12">
        <f>C53*(1+VLOOKUP($A54,$O$3:$X$7,2,FALSE()))</f>
        <v>10726.011960000002</v>
      </c>
      <c r="D54" s="12">
        <f>D53*(1+VLOOKUP($A54,$O$3:$X$7,3,FALSE()))</f>
        <v>2114.81477382</v>
      </c>
      <c r="E54" s="13">
        <f>D54/C54*100</f>
        <v>19.716692296322964</v>
      </c>
      <c r="F54" s="12">
        <f>F53*(1+VLOOKUP($A54,$O$3:$X$7,4,FALSE()))</f>
        <v>1068.3971583999999</v>
      </c>
      <c r="G54" s="13">
        <f>F54/C54*100</f>
        <v>9.9608052124528825</v>
      </c>
      <c r="H54" s="14">
        <f>H53*(1+VLOOKUP($A54,$O$3:$X$7,5,FALSE()))</f>
        <v>1297.56171776</v>
      </c>
      <c r="I54" s="12">
        <f>I53*(1+VLOOKUP($A54,$O$3:$X$7,6,FALSE()))</f>
        <v>2642.7420095999996</v>
      </c>
      <c r="J54" s="15">
        <f>J53*(1+VLOOKUP($A54,$O$3:$X$7,7,FALSE()))</f>
        <v>0.32086333980000004</v>
      </c>
      <c r="K54" s="16">
        <f>K53*(1+VLOOKUP($A54,$O$3:$X$7,8,FALSE()))</f>
        <v>195.08426800000001</v>
      </c>
      <c r="L54" s="17">
        <f>L53*(1+VLOOKUP($A54,$O$3:$X$7,9,FALSE()))</f>
        <v>33.994305306000001</v>
      </c>
      <c r="M54" s="18">
        <f>M53*(1+VLOOKUP($A54,$O$3:$X$7,10,FALSE()))</f>
        <v>27151.826944000004</v>
      </c>
    </row>
    <row r="55" spans="1:13" x14ac:dyDescent="0.3">
      <c r="A55" s="29" t="s">
        <v>31</v>
      </c>
      <c r="B55" s="30" t="s">
        <v>36</v>
      </c>
      <c r="C55" s="12">
        <f>C54*(1+VLOOKUP($A55,$O$3:$X$7,2,FALSE()))</f>
        <v>12297.372712140002</v>
      </c>
      <c r="D55" s="12">
        <f>D54*(1+VLOOKUP($A55,$O$3:$X$7,3,FALSE()))</f>
        <v>2476.6595816206022</v>
      </c>
      <c r="E55" s="13">
        <f>D55/C55*100</f>
        <v>20.139745615546293</v>
      </c>
      <c r="F55" s="12">
        <f>F54*(1+VLOOKUP($A55,$O$3:$X$7,4,FALSE()))</f>
        <v>1306.0086864281598</v>
      </c>
      <c r="G55" s="13">
        <f>F55/C55*100</f>
        <v>10.620225287136854</v>
      </c>
      <c r="H55" s="14">
        <f>H54*(1+VLOOKUP($A55,$O$3:$X$7,5,FALSE()))</f>
        <v>1561.4857711523839</v>
      </c>
      <c r="I55" s="12">
        <f>I54*(1+VLOOKUP($A55,$O$3:$X$7,6,FALSE()))</f>
        <v>2826.6768534681592</v>
      </c>
      <c r="J55" s="15">
        <f>J54*(1+VLOOKUP($A55,$O$3:$X$7,7,FALSE()))</f>
        <v>0.29484132294222004</v>
      </c>
      <c r="K55" s="16">
        <f>K54*(1+VLOOKUP($A55,$O$3:$X$7,8,FALSE()))</f>
        <v>213.42218919200002</v>
      </c>
      <c r="L55" s="17">
        <f>L54*(1+VLOOKUP($A55,$O$3:$X$7,9,FALSE()))</f>
        <v>40.973336185321806</v>
      </c>
      <c r="M55" s="18">
        <f>M54*(1+VLOOKUP($A55,$O$3:$X$7,10,FALSE()))</f>
        <v>30583.817869721606</v>
      </c>
    </row>
    <row r="56" spans="1:13" x14ac:dyDescent="0.3">
      <c r="A56" s="29" t="s">
        <v>31</v>
      </c>
      <c r="B56" s="30" t="s">
        <v>37</v>
      </c>
      <c r="C56" s="12">
        <f>C55*(1+VLOOKUP($A56,$O$3:$X$7,2,FALSE()))</f>
        <v>14098.937814468514</v>
      </c>
      <c r="D56" s="12">
        <f>D55*(1+VLOOKUP($A56,$O$3:$X$7,3,FALSE()))</f>
        <v>2900.4160360358874</v>
      </c>
      <c r="E56" s="13">
        <f>D56/C56*100</f>
        <v>20.571876223607731</v>
      </c>
      <c r="F56" s="12">
        <f>F55*(1+VLOOKUP($A56,$O$3:$X$7,4,FALSE()))</f>
        <v>1596.4650182897824</v>
      </c>
      <c r="G56" s="13">
        <f>F56/C56*100</f>
        <v>11.32329994853562</v>
      </c>
      <c r="H56" s="14">
        <f>H55*(1+VLOOKUP($A56,$O$3:$X$7,5,FALSE()))</f>
        <v>1879.0919770047788</v>
      </c>
      <c r="I56" s="12">
        <f>I55*(1+VLOOKUP($A56,$O$3:$X$7,6,FALSE()))</f>
        <v>3023.4135624695427</v>
      </c>
      <c r="J56" s="15">
        <f>J55*(1+VLOOKUP($A56,$O$3:$X$7,7,FALSE()))</f>
        <v>0.27092969165160602</v>
      </c>
      <c r="K56" s="16">
        <f>K55*(1+VLOOKUP($A56,$O$3:$X$7,8,FALSE()))</f>
        <v>233.48387497604804</v>
      </c>
      <c r="L56" s="17">
        <f>L55*(1+VLOOKUP($A56,$O$3:$X$7,9,FALSE()))</f>
        <v>49.385162104168373</v>
      </c>
      <c r="M56" s="18">
        <f>M55*(1+VLOOKUP($A56,$O$3:$X$7,10,FALSE()))</f>
        <v>34449.61244845442</v>
      </c>
    </row>
    <row r="57" spans="1:13" x14ac:dyDescent="0.3">
      <c r="A57" s="31" t="s">
        <v>31</v>
      </c>
      <c r="B57" s="32" t="s">
        <v>38</v>
      </c>
      <c r="C57" s="21">
        <f>C56*(1+VLOOKUP($A57,$O$3:$X$7,2,FALSE()))</f>
        <v>16164.432204288152</v>
      </c>
      <c r="D57" s="21">
        <f>D56*(1+VLOOKUP($A57,$O$3:$X$7,3,FALSE()))</f>
        <v>3396.6772198016279</v>
      </c>
      <c r="E57" s="22">
        <f>D57/C57*100</f>
        <v>21.013278888327093</v>
      </c>
      <c r="F57" s="21">
        <f>F56*(1+VLOOKUP($A57,$O$3:$X$7,4,FALSE()))</f>
        <v>1951.5188383574298</v>
      </c>
      <c r="G57" s="22">
        <f>F57/C57*100</f>
        <v>12.072919195019573</v>
      </c>
      <c r="H57" s="23">
        <f>H56*(1+VLOOKUP($A57,$O$3:$X$7,5,FALSE()))</f>
        <v>2261.2992851275508</v>
      </c>
      <c r="I57" s="21">
        <f>I56*(1+VLOOKUP($A57,$O$3:$X$7,6,FALSE()))</f>
        <v>3233.8431464174228</v>
      </c>
      <c r="J57" s="24">
        <f>J56*(1+VLOOKUP($A57,$O$3:$X$7,7,FALSE()))</f>
        <v>0.24895729365866079</v>
      </c>
      <c r="K57" s="25">
        <f>K56*(1+VLOOKUP($A57,$O$3:$X$7,8,FALSE()))</f>
        <v>255.43135922379659</v>
      </c>
      <c r="L57" s="26">
        <f>L56*(1+VLOOKUP($A57,$O$3:$X$7,9,FALSE()))</f>
        <v>59.523935884154142</v>
      </c>
      <c r="M57" s="27">
        <f>M56*(1+VLOOKUP($A57,$O$3:$X$7,10,FALSE()))</f>
        <v>38804.043461939058</v>
      </c>
    </row>
  </sheetData>
  <mergeCells count="1">
    <mergeCell ref="O9:X9"/>
  </mergeCell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Financial Modeling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Nandan K R</cp:lastModifiedBy>
  <dcterms:modified xsi:type="dcterms:W3CDTF">2026-08-17T02:44:04Z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2026-07-30T13:21:59Z</dcterms:created>
  <dc:creator>Nandan K R</dc:creator>
  <dc:description/>
  <dc:language>en-US</dc:language>
  <cp:lastModifiedBy>Nandan K R</cp:lastModifiedBy>
  <dcterms:modified xsi:type="dcterms:W3CDTF">2026-08-14T02:56:00Z</dcterms:modified>
  <cp:revision>0</cp:revision>
  <dc:subject/>
  <dc:title/>
</cp:coreProperties>
</file>