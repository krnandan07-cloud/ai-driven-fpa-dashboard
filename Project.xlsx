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kr71\Downloads\IIP\"/>
    </mc:Choice>
  </mc:AlternateContent>
  <xr:revisionPtr revIDLastSave="0" documentId="13_ncr:1_{70594C4A-FBC8-44A3-A157-CBB4EE6B7613}" xr6:coauthVersionLast="47" xr6:coauthVersionMax="47" xr10:uidLastSave="{00000000-0000-0000-0000-000000000000}"/>
  <bookViews>
    <workbookView xWindow="-108" yWindow="-108" windowWidth="23256" windowHeight="13176" xr2:uid="{AB8779F8-46DE-4CCE-8163-9FE66D75EDF5}"/>
  </bookViews>
  <sheets>
    <sheet name="Raw data" sheetId="1" r:id="rId1"/>
    <sheet name="Financial Model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0" i="3" s="1"/>
  <c r="C11" i="3" s="1"/>
  <c r="C12" i="3" s="1"/>
  <c r="C13" i="3" s="1"/>
  <c r="C54" i="3"/>
  <c r="D54" i="3"/>
  <c r="E54" i="3"/>
  <c r="F54" i="3"/>
  <c r="F55" i="3" s="1"/>
  <c r="F56" i="3" s="1"/>
  <c r="F57" i="3" s="1"/>
  <c r="G54" i="3"/>
  <c r="H54" i="3"/>
  <c r="H55" i="3" s="1"/>
  <c r="H56" i="3" s="1"/>
  <c r="H57" i="3" s="1"/>
  <c r="I54" i="3"/>
  <c r="I55" i="3" s="1"/>
  <c r="I56" i="3" s="1"/>
  <c r="I57" i="3" s="1"/>
  <c r="J54" i="3"/>
  <c r="J55" i="3" s="1"/>
  <c r="J56" i="3" s="1"/>
  <c r="J57" i="3" s="1"/>
  <c r="K54" i="3"/>
  <c r="K55" i="3" s="1"/>
  <c r="K56" i="3" s="1"/>
  <c r="K57" i="3" s="1"/>
  <c r="L54" i="3"/>
  <c r="L55" i="3" s="1"/>
  <c r="L56" i="3" s="1"/>
  <c r="L57" i="3" s="1"/>
  <c r="M54" i="3"/>
  <c r="M55" i="3" s="1"/>
  <c r="M56" i="3" s="1"/>
  <c r="M57" i="3" s="1"/>
  <c r="C55" i="3"/>
  <c r="C56" i="3" s="1"/>
  <c r="C57" i="3" s="1"/>
  <c r="D55" i="3"/>
  <c r="E55" i="3"/>
  <c r="G55" i="3"/>
  <c r="D56" i="3"/>
  <c r="D57" i="3" s="1"/>
  <c r="E56" i="3"/>
  <c r="G56" i="3"/>
  <c r="E57" i="3"/>
  <c r="G57" i="3"/>
  <c r="C53" i="3"/>
  <c r="M53" i="3"/>
  <c r="L53" i="3"/>
  <c r="K53" i="3"/>
  <c r="J53" i="3"/>
  <c r="I53" i="3"/>
  <c r="H53" i="3"/>
  <c r="G53" i="3"/>
  <c r="F53" i="3"/>
  <c r="E53" i="3"/>
  <c r="D53" i="3"/>
  <c r="F42" i="3"/>
  <c r="G46" i="3"/>
  <c r="G45" i="3"/>
  <c r="G44" i="3"/>
  <c r="G43" i="3"/>
  <c r="G42" i="3"/>
  <c r="E46" i="3"/>
  <c r="E45" i="3"/>
  <c r="E44" i="3"/>
  <c r="E43" i="3"/>
  <c r="E42" i="3"/>
  <c r="C43" i="3"/>
  <c r="D43" i="3"/>
  <c r="F43" i="3"/>
  <c r="H43" i="3"/>
  <c r="H44" i="3" s="1"/>
  <c r="H45" i="3" s="1"/>
  <c r="H46" i="3" s="1"/>
  <c r="I43" i="3"/>
  <c r="I44" i="3" s="1"/>
  <c r="I45" i="3" s="1"/>
  <c r="I46" i="3" s="1"/>
  <c r="J43" i="3"/>
  <c r="J44" i="3" s="1"/>
  <c r="J45" i="3" s="1"/>
  <c r="J46" i="3" s="1"/>
  <c r="K43" i="3"/>
  <c r="K44" i="3" s="1"/>
  <c r="K45" i="3" s="1"/>
  <c r="K46" i="3" s="1"/>
  <c r="L43" i="3"/>
  <c r="L44" i="3" s="1"/>
  <c r="L45" i="3" s="1"/>
  <c r="L46" i="3" s="1"/>
  <c r="M43" i="3"/>
  <c r="M44" i="3" s="1"/>
  <c r="M45" i="3" s="1"/>
  <c r="M46" i="3" s="1"/>
  <c r="C44" i="3"/>
  <c r="C45" i="3" s="1"/>
  <c r="C46" i="3" s="1"/>
  <c r="D44" i="3"/>
  <c r="D45" i="3" s="1"/>
  <c r="D46" i="3" s="1"/>
  <c r="F44" i="3"/>
  <c r="F45" i="3" s="1"/>
  <c r="F46" i="3" s="1"/>
  <c r="M42" i="3"/>
  <c r="L42" i="3"/>
  <c r="K42" i="3"/>
  <c r="J42" i="3"/>
  <c r="I42" i="3"/>
  <c r="H42" i="3"/>
  <c r="D42" i="3"/>
  <c r="C42" i="3"/>
  <c r="M31" i="3"/>
  <c r="M32" i="3" s="1"/>
  <c r="M33" i="3" s="1"/>
  <c r="M34" i="3" s="1"/>
  <c r="M35" i="3" s="1"/>
  <c r="L31" i="3"/>
  <c r="L32" i="3" s="1"/>
  <c r="L33" i="3" s="1"/>
  <c r="L34" i="3" s="1"/>
  <c r="L35" i="3" s="1"/>
  <c r="K31" i="3"/>
  <c r="K32" i="3" s="1"/>
  <c r="K33" i="3" s="1"/>
  <c r="K34" i="3" s="1"/>
  <c r="K35" i="3" s="1"/>
  <c r="J31" i="3"/>
  <c r="J32" i="3" s="1"/>
  <c r="J33" i="3" s="1"/>
  <c r="J34" i="3" s="1"/>
  <c r="J35" i="3" s="1"/>
  <c r="I31" i="3"/>
  <c r="I32" i="3" s="1"/>
  <c r="I33" i="3" s="1"/>
  <c r="I34" i="3" s="1"/>
  <c r="I35" i="3" s="1"/>
  <c r="H31" i="3"/>
  <c r="H32" i="3" s="1"/>
  <c r="H33" i="3" s="1"/>
  <c r="H34" i="3" s="1"/>
  <c r="H35" i="3" s="1"/>
  <c r="F31" i="3"/>
  <c r="D31" i="3"/>
  <c r="D32" i="3" s="1"/>
  <c r="D33" i="3" s="1"/>
  <c r="D34" i="3" s="1"/>
  <c r="D35" i="3" s="1"/>
  <c r="G35" i="3"/>
  <c r="G34" i="3"/>
  <c r="G33" i="3"/>
  <c r="G32" i="3"/>
  <c r="G31" i="3"/>
  <c r="E35" i="3"/>
  <c r="E34" i="3"/>
  <c r="E33" i="3"/>
  <c r="E32" i="3"/>
  <c r="E31" i="3"/>
  <c r="C31" i="3"/>
  <c r="C32" i="3" s="1"/>
  <c r="C33" i="3" s="1"/>
  <c r="C34" i="3" s="1"/>
  <c r="C35" i="3" s="1"/>
  <c r="M20" i="3"/>
  <c r="M21" i="3" s="1"/>
  <c r="M22" i="3" s="1"/>
  <c r="M23" i="3" s="1"/>
  <c r="M24" i="3" s="1"/>
  <c r="L20" i="3"/>
  <c r="L21" i="3" s="1"/>
  <c r="L22" i="3" s="1"/>
  <c r="L23" i="3" s="1"/>
  <c r="L24" i="3" s="1"/>
  <c r="K20" i="3"/>
  <c r="K21" i="3" s="1"/>
  <c r="K22" i="3" s="1"/>
  <c r="K23" i="3" s="1"/>
  <c r="K24" i="3" s="1"/>
  <c r="J20" i="3"/>
  <c r="J21" i="3" s="1"/>
  <c r="J22" i="3" s="1"/>
  <c r="J23" i="3" s="1"/>
  <c r="J24" i="3" s="1"/>
  <c r="I20" i="3"/>
  <c r="I21" i="3" s="1"/>
  <c r="I22" i="3" s="1"/>
  <c r="I23" i="3" s="1"/>
  <c r="I24" i="3" s="1"/>
  <c r="H20" i="3"/>
  <c r="H21" i="3" s="1"/>
  <c r="H22" i="3" s="1"/>
  <c r="H23" i="3" s="1"/>
  <c r="H24" i="3" s="1"/>
  <c r="G21" i="3"/>
  <c r="G22" i="3"/>
  <c r="G23" i="3"/>
  <c r="G24" i="3"/>
  <c r="G20" i="3"/>
  <c r="F20" i="3"/>
  <c r="F21" i="3" s="1"/>
  <c r="F22" i="3" s="1"/>
  <c r="F23" i="3" s="1"/>
  <c r="F24" i="3" s="1"/>
  <c r="E21" i="3"/>
  <c r="E22" i="3"/>
  <c r="E23" i="3"/>
  <c r="E24" i="3"/>
  <c r="E20" i="3"/>
  <c r="D20" i="3"/>
  <c r="D21" i="3" s="1"/>
  <c r="D22" i="3" s="1"/>
  <c r="D23" i="3" s="1"/>
  <c r="D24" i="3" s="1"/>
  <c r="C20" i="3"/>
  <c r="C21" i="3" s="1"/>
  <c r="C22" i="3" s="1"/>
  <c r="C23" i="3" s="1"/>
  <c r="C24" i="3" s="1"/>
  <c r="M9" i="3"/>
  <c r="M10" i="3" s="1"/>
  <c r="M11" i="3" s="1"/>
  <c r="M12" i="3" s="1"/>
  <c r="M13" i="3" s="1"/>
  <c r="L9" i="3"/>
  <c r="L10" i="3" s="1"/>
  <c r="L11" i="3" s="1"/>
  <c r="L12" i="3" s="1"/>
  <c r="L13" i="3" s="1"/>
  <c r="K9" i="3"/>
  <c r="K10" i="3" s="1"/>
  <c r="K11" i="3" s="1"/>
  <c r="K12" i="3" s="1"/>
  <c r="K13" i="3" s="1"/>
  <c r="J9" i="3"/>
  <c r="J10" i="3" s="1"/>
  <c r="J11" i="3" s="1"/>
  <c r="J12" i="3" s="1"/>
  <c r="J13" i="3" s="1"/>
  <c r="I9" i="3"/>
  <c r="I10" i="3" s="1"/>
  <c r="I11" i="3" s="1"/>
  <c r="I12" i="3" s="1"/>
  <c r="I13" i="3" s="1"/>
  <c r="H9" i="3"/>
  <c r="H10" i="3" s="1"/>
  <c r="H11" i="3" s="1"/>
  <c r="H12" i="3" s="1"/>
  <c r="H13" i="3" s="1"/>
  <c r="G10" i="3"/>
  <c r="G11" i="3"/>
  <c r="G12" i="3"/>
  <c r="G13" i="3"/>
  <c r="G9" i="3"/>
  <c r="F9" i="3"/>
  <c r="F10" i="3" s="1"/>
  <c r="F11" i="3" s="1"/>
  <c r="F12" i="3" s="1"/>
  <c r="F13" i="3" s="1"/>
  <c r="E10" i="3"/>
  <c r="E11" i="3"/>
  <c r="E12" i="3"/>
  <c r="E13" i="3"/>
  <c r="E9" i="3"/>
  <c r="D9" i="3"/>
  <c r="D10" i="3" s="1"/>
  <c r="D11" i="3" s="1"/>
  <c r="D12" i="3" s="1"/>
  <c r="D13" i="3" s="1"/>
  <c r="F32" i="3" l="1"/>
  <c r="F33" i="3" s="1"/>
  <c r="F34" i="3" s="1"/>
  <c r="F35" i="3" s="1"/>
</calcChain>
</file>

<file path=xl/sharedStrings.xml><?xml version="1.0" encoding="utf-8"?>
<sst xmlns="http://schemas.openxmlformats.org/spreadsheetml/2006/main" count="182" uniqueCount="40">
  <si>
    <t>Company</t>
  </si>
  <si>
    <t>Financial Year</t>
  </si>
  <si>
    <t>Revenue (Turnover)</t>
  </si>
  <si>
    <t>EBITDA</t>
  </si>
  <si>
    <t>EBITDA %</t>
  </si>
  <si>
    <t>PAT</t>
  </si>
  <si>
    <t>PAT %</t>
  </si>
  <si>
    <t>Cash Profit</t>
  </si>
  <si>
    <t>Gross Block</t>
  </si>
  <si>
    <t>Debt-Equity Ratio</t>
  </si>
  <si>
    <t>Book Value/Share (₹)</t>
  </si>
  <si>
    <t>Basic EPS (₹)</t>
  </si>
  <si>
    <t>Order Book</t>
  </si>
  <si>
    <t>L&amp;T</t>
  </si>
  <si>
    <t>FY2020-21</t>
  </si>
  <si>
    <t>FY2021-22</t>
  </si>
  <si>
    <t>FY2022-23</t>
  </si>
  <si>
    <t>FY2023-24</t>
  </si>
  <si>
    <t>FY2024-25</t>
  </si>
  <si>
    <t>FY2025-26</t>
  </si>
  <si>
    <t>NCC Ltd</t>
  </si>
  <si>
    <t>KNR Constructions</t>
  </si>
  <si>
    <t>IRB Infrastructure</t>
  </si>
  <si>
    <t>HG Infra Engineering</t>
  </si>
  <si>
    <t>Value</t>
  </si>
  <si>
    <t>Revenue Growth</t>
  </si>
  <si>
    <t>Assumption</t>
  </si>
  <si>
    <t>Debt Growth</t>
  </si>
  <si>
    <t>Order Book Growth</t>
  </si>
  <si>
    <t>FY2026-27</t>
  </si>
  <si>
    <t>FY2027-28</t>
  </si>
  <si>
    <t>FY2028-29</t>
  </si>
  <si>
    <t>FY2029-30</t>
  </si>
  <si>
    <t>FY2030-31</t>
  </si>
  <si>
    <t>EBITDA Growth</t>
  </si>
  <si>
    <t>PAT Growth</t>
  </si>
  <si>
    <t>Cash Profit Growth</t>
  </si>
  <si>
    <t>Gross Block Growth</t>
  </si>
  <si>
    <t>Book Value Growth</t>
  </si>
  <si>
    <t>EPS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</si>
</sst>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0"/>
    <numFmt numFmtId="165" formatCode="[$₹-44B]#,##0.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0" fontId="0" fillId="2" borderId="1" xfId="1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2" borderId="6" xfId="0" applyNumberForma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0" fontId="0" fillId="2" borderId="2" xfId="1" applyNumberFormat="1" applyFont="1" applyFill="1" applyBorder="1" applyAlignment="1">
      <alignment horizontal="center" vertical="center" wrapText="1"/>
    </xf>
    <xf numFmtId="165" fontId="0" fillId="2" borderId="2" xfId="0" applyNumberFormat="1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66" fontId="0" fillId="2" borderId="2" xfId="0" applyNumberFormat="1" applyFill="1" applyBorder="1" applyAlignment="1">
      <alignment horizontal="center" vertical="center" wrapText="1"/>
    </xf>
    <xf numFmtId="1" fontId="0" fillId="2" borderId="9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4B]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B95C5-F465-4952-B6DD-1980DF95BCC4}" name="Table1" displayName="Table1" ref="A2:M57" totalsRowShown="0" headerRowDxfId="17" dataDxfId="15" headerRowBorderDxfId="16" tableBorderDxfId="14" totalsRowBorderDxfId="13">
  <autoFilter ref="A2:M57" xr:uid="{1C1B95C5-F465-4952-B6DD-1980DF95BCC4}"/>
  <tableColumns count="13">
    <tableColumn id="1" xr3:uid="{C542C917-53A9-42F9-B057-0536A4D35116}" name="Company" dataDxfId="12"/>
    <tableColumn id="2" xr3:uid="{C2CF5EEA-1783-4E8D-BD58-CF0FD0341335}" name="Financial Year" dataDxfId="11"/>
    <tableColumn id="3" xr3:uid="{8FABEBE7-B8FD-45F7-B89E-B2916E3DE1DC}" name="Revenue (Turnover)" dataDxfId="10">
      <calculatedColumnFormula>C2*(1+$P$3)</calculatedColumnFormula>
    </tableColumn>
    <tableColumn id="4" xr3:uid="{FC12DEA6-7909-4AB3-984C-844444A9E61B}" name="EBITDA" dataDxfId="9">
      <calculatedColumnFormula>D2*(1+$P$4)</calculatedColumnFormula>
    </tableColumn>
    <tableColumn id="5" xr3:uid="{A7D51C66-F8FE-4A01-91BC-120D28510B97}" name="EBITDA %" dataDxfId="8" dataCellStyle="Percent">
      <calculatedColumnFormula>$P$4</calculatedColumnFormula>
    </tableColumn>
    <tableColumn id="6" xr3:uid="{08F6857B-B8AD-4549-905D-5C2F0E9E4A86}" name="PAT" dataDxfId="7">
      <calculatedColumnFormula>F2*(1+$P$5)</calculatedColumnFormula>
    </tableColumn>
    <tableColumn id="7" xr3:uid="{667244B7-AFF2-405C-8414-39A09BBA2F4B}" name="PAT %" dataDxfId="6" dataCellStyle="Percent">
      <calculatedColumnFormula>$P$4</calculatedColumnFormula>
    </tableColumn>
    <tableColumn id="8" xr3:uid="{D28C2733-1DBF-4745-A250-92C74FF453D3}" name="Cash Profit" dataDxfId="5">
      <calculatedColumnFormula>H2*(1+$P$6)</calculatedColumnFormula>
    </tableColumn>
    <tableColumn id="9" xr3:uid="{0BA17C2C-AA97-40BF-BCED-E30FBA0743B9}" name="Gross Block" dataDxfId="4">
      <calculatedColumnFormula>I2*(1+$P$7)</calculatedColumnFormula>
    </tableColumn>
    <tableColumn id="10" xr3:uid="{DDDBFE45-3E07-43BA-BA7B-8648340EE9A1}" name="Debt-Equity Ratio" dataDxfId="3">
      <calculatedColumnFormula>J2*(1+$P$8)</calculatedColumnFormula>
    </tableColumn>
    <tableColumn id="11" xr3:uid="{6B43E4F3-C437-4FE4-88FC-AA7438B7DA1A}" name="Book Value/Share (₹)" dataDxfId="2">
      <calculatedColumnFormula>K2*(1+$P$9)</calculatedColumnFormula>
    </tableColumn>
    <tableColumn id="12" xr3:uid="{8F5589B0-9AD8-43F9-9696-4B23EDAE8141}" name="Basic EPS (₹)" dataDxfId="1">
      <calculatedColumnFormula>L2*(1+$P$10)</calculatedColumnFormula>
    </tableColumn>
    <tableColumn id="13" xr3:uid="{AE6803F1-1AAD-434B-A9CA-60EDFBF890D3}" name="Order Book" dataDxfId="0">
      <calculatedColumnFormula>M2*(1+$P$11)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B878-1370-41D0-A30E-E13F5CED5DCE}">
  <dimension ref="A1:M32"/>
  <sheetViews>
    <sheetView tabSelected="1" workbookViewId="0">
      <selection activeCell="D14" sqref="D14"/>
    </sheetView>
  </sheetViews>
  <sheetFormatPr defaultRowHeight="14.4" x14ac:dyDescent="0.3"/>
  <cols>
    <col min="1" max="1" width="20.109375" customWidth="1"/>
    <col min="2" max="2" width="12.44140625" bestFit="1" customWidth="1"/>
    <col min="3" max="3" width="18.109375" bestFit="1" customWidth="1"/>
    <col min="4" max="4" width="10.44140625" bestFit="1" customWidth="1"/>
    <col min="5" max="5" width="9" bestFit="1" customWidth="1"/>
    <col min="6" max="6" width="6" bestFit="1" customWidth="1"/>
    <col min="7" max="7" width="6.5546875" bestFit="1" customWidth="1"/>
    <col min="8" max="8" width="10.109375" bestFit="1" customWidth="1"/>
    <col min="9" max="9" width="10.5546875" bestFit="1" customWidth="1"/>
    <col min="10" max="10" width="15.88671875" bestFit="1" customWidth="1"/>
    <col min="11" max="11" width="19.21875" bestFit="1" customWidth="1"/>
    <col min="12" max="12" width="11.5546875" bestFit="1" customWidth="1"/>
    <col min="13" max="13" width="10.5546875" bestFit="1" customWidth="1"/>
  </cols>
  <sheetData>
    <row r="1" spans="1:13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3">
      <c r="A3" s="33" t="s">
        <v>13</v>
      </c>
      <c r="B3" s="2" t="s">
        <v>14</v>
      </c>
      <c r="C3" s="3">
        <v>148000</v>
      </c>
      <c r="D3" s="3">
        <v>16872</v>
      </c>
      <c r="E3" s="4">
        <v>11.4</v>
      </c>
      <c r="F3" s="2">
        <v>9650</v>
      </c>
      <c r="G3" s="4">
        <v>6.52</v>
      </c>
      <c r="H3" s="2">
        <v>12340</v>
      </c>
      <c r="I3" s="2">
        <v>68200</v>
      </c>
      <c r="J3" s="4">
        <v>1.1200000000000001</v>
      </c>
      <c r="K3" s="2">
        <v>512</v>
      </c>
      <c r="L3" s="2">
        <v>69.2</v>
      </c>
      <c r="M3" s="2">
        <v>325000</v>
      </c>
    </row>
    <row r="4" spans="1:13" x14ac:dyDescent="0.3">
      <c r="A4" s="33"/>
      <c r="B4" s="2" t="s">
        <v>15</v>
      </c>
      <c r="C4" s="3">
        <v>163500</v>
      </c>
      <c r="D4" s="3">
        <v>18966</v>
      </c>
      <c r="E4" s="4">
        <v>11.6</v>
      </c>
      <c r="F4" s="2">
        <v>10820</v>
      </c>
      <c r="G4" s="4">
        <v>6.62</v>
      </c>
      <c r="H4" s="2">
        <v>13650</v>
      </c>
      <c r="I4" s="2">
        <v>70500</v>
      </c>
      <c r="J4" s="4">
        <v>1.08</v>
      </c>
      <c r="K4" s="2">
        <v>545</v>
      </c>
      <c r="L4" s="2">
        <v>77.099999999999994</v>
      </c>
      <c r="M4" s="2">
        <v>345000</v>
      </c>
    </row>
    <row r="5" spans="1:13" x14ac:dyDescent="0.3">
      <c r="A5" s="33"/>
      <c r="B5" s="2" t="s">
        <v>16</v>
      </c>
      <c r="C5" s="3">
        <v>182800</v>
      </c>
      <c r="D5" s="3">
        <v>21410</v>
      </c>
      <c r="E5" s="4">
        <v>11.71</v>
      </c>
      <c r="F5" s="2">
        <v>12340</v>
      </c>
      <c r="G5" s="4">
        <v>6.75</v>
      </c>
      <c r="H5" s="2">
        <v>15120</v>
      </c>
      <c r="I5" s="2">
        <v>73600</v>
      </c>
      <c r="J5" s="4">
        <v>1.02</v>
      </c>
      <c r="K5" s="2">
        <v>586</v>
      </c>
      <c r="L5" s="2">
        <v>88.2</v>
      </c>
      <c r="M5" s="2">
        <v>372000</v>
      </c>
    </row>
    <row r="6" spans="1:13" x14ac:dyDescent="0.3">
      <c r="A6" s="33"/>
      <c r="B6" s="2" t="s">
        <v>17</v>
      </c>
      <c r="C6" s="3">
        <v>208400</v>
      </c>
      <c r="D6" s="3">
        <v>24800</v>
      </c>
      <c r="E6" s="4">
        <v>11.9</v>
      </c>
      <c r="F6" s="2">
        <v>14580</v>
      </c>
      <c r="G6" s="4">
        <v>7</v>
      </c>
      <c r="H6" s="2">
        <v>17420</v>
      </c>
      <c r="I6" s="2">
        <v>77100</v>
      </c>
      <c r="J6" s="4">
        <v>0.98</v>
      </c>
      <c r="K6" s="2">
        <v>628</v>
      </c>
      <c r="L6" s="2">
        <v>104.3</v>
      </c>
      <c r="M6" s="2">
        <v>408000</v>
      </c>
    </row>
    <row r="7" spans="1:13" x14ac:dyDescent="0.3">
      <c r="A7" s="33"/>
      <c r="B7" s="2" t="s">
        <v>18</v>
      </c>
      <c r="C7" s="3">
        <v>234700</v>
      </c>
      <c r="D7" s="3">
        <v>28270</v>
      </c>
      <c r="E7" s="4">
        <v>12.04</v>
      </c>
      <c r="F7" s="2">
        <v>16890</v>
      </c>
      <c r="G7" s="4">
        <v>7.2</v>
      </c>
      <c r="H7" s="2">
        <v>19860</v>
      </c>
      <c r="I7" s="2">
        <v>80900</v>
      </c>
      <c r="J7" s="4">
        <v>0.95</v>
      </c>
      <c r="K7" s="2">
        <v>675</v>
      </c>
      <c r="L7" s="2">
        <v>120.7</v>
      </c>
      <c r="M7" s="2">
        <v>446000</v>
      </c>
    </row>
    <row r="8" spans="1:13" x14ac:dyDescent="0.3">
      <c r="A8" s="33"/>
      <c r="B8" s="2" t="s">
        <v>19</v>
      </c>
      <c r="C8" s="3">
        <v>261900</v>
      </c>
      <c r="D8" s="3">
        <v>31950</v>
      </c>
      <c r="E8" s="4">
        <v>12.2</v>
      </c>
      <c r="F8" s="2">
        <v>19280</v>
      </c>
      <c r="G8" s="4">
        <v>7.36</v>
      </c>
      <c r="H8" s="2">
        <v>22480</v>
      </c>
      <c r="I8" s="2">
        <v>85200</v>
      </c>
      <c r="J8" s="4">
        <v>0.92</v>
      </c>
      <c r="K8" s="2">
        <v>724</v>
      </c>
      <c r="L8" s="2">
        <v>137.80000000000001</v>
      </c>
      <c r="M8" s="2">
        <v>485000</v>
      </c>
    </row>
    <row r="9" spans="1:13" x14ac:dyDescent="0.3">
      <c r="A9" s="33" t="s">
        <v>20</v>
      </c>
      <c r="B9" s="2" t="s">
        <v>14</v>
      </c>
      <c r="C9" s="3">
        <v>8900</v>
      </c>
      <c r="D9" s="3">
        <v>890</v>
      </c>
      <c r="E9" s="4">
        <v>10</v>
      </c>
      <c r="F9" s="2">
        <v>360</v>
      </c>
      <c r="G9" s="4">
        <v>4.04</v>
      </c>
      <c r="H9" s="2">
        <v>520</v>
      </c>
      <c r="I9" s="2">
        <v>2750</v>
      </c>
      <c r="J9" s="4">
        <v>0.42</v>
      </c>
      <c r="K9" s="2">
        <v>86</v>
      </c>
      <c r="L9" s="2">
        <v>5.8</v>
      </c>
      <c r="M9" s="2">
        <v>36000</v>
      </c>
    </row>
    <row r="10" spans="1:13" x14ac:dyDescent="0.3">
      <c r="A10" s="33"/>
      <c r="B10" s="2" t="s">
        <v>15</v>
      </c>
      <c r="C10" s="3">
        <v>10450</v>
      </c>
      <c r="D10" s="3">
        <v>1076</v>
      </c>
      <c r="E10" s="4">
        <v>10.3</v>
      </c>
      <c r="F10" s="2">
        <v>470</v>
      </c>
      <c r="G10" s="4">
        <v>4.5</v>
      </c>
      <c r="H10" s="2">
        <v>650</v>
      </c>
      <c r="I10" s="2">
        <v>2920</v>
      </c>
      <c r="J10" s="4">
        <v>0.38</v>
      </c>
      <c r="K10" s="2">
        <v>91</v>
      </c>
      <c r="L10" s="2">
        <v>7.2</v>
      </c>
      <c r="M10" s="2">
        <v>40500</v>
      </c>
    </row>
    <row r="11" spans="1:13" x14ac:dyDescent="0.3">
      <c r="A11" s="33"/>
      <c r="B11" s="2" t="s">
        <v>16</v>
      </c>
      <c r="C11" s="3">
        <v>12380</v>
      </c>
      <c r="D11" s="3">
        <v>1300</v>
      </c>
      <c r="E11" s="4">
        <v>10.5</v>
      </c>
      <c r="F11" s="2">
        <v>585</v>
      </c>
      <c r="G11" s="4">
        <v>4.72</v>
      </c>
      <c r="H11" s="2">
        <v>790</v>
      </c>
      <c r="I11" s="2">
        <v>3140</v>
      </c>
      <c r="J11" s="4">
        <v>0.34</v>
      </c>
      <c r="K11" s="2">
        <v>98</v>
      </c>
      <c r="L11" s="2">
        <v>8.9</v>
      </c>
      <c r="M11" s="2">
        <v>45500</v>
      </c>
    </row>
    <row r="12" spans="1:13" x14ac:dyDescent="0.3">
      <c r="A12" s="33"/>
      <c r="B12" s="2" t="s">
        <v>17</v>
      </c>
      <c r="C12" s="3">
        <v>14650</v>
      </c>
      <c r="D12" s="3">
        <v>1568</v>
      </c>
      <c r="E12" s="4">
        <v>10.7</v>
      </c>
      <c r="F12" s="2">
        <v>735</v>
      </c>
      <c r="G12" s="4">
        <v>5.0199999999999996</v>
      </c>
      <c r="H12" s="2">
        <v>960</v>
      </c>
      <c r="I12" s="2">
        <v>3380</v>
      </c>
      <c r="J12" s="4">
        <v>0.31</v>
      </c>
      <c r="K12" s="2">
        <v>107</v>
      </c>
      <c r="L12" s="2">
        <v>11.2</v>
      </c>
      <c r="M12" s="2">
        <v>51500</v>
      </c>
    </row>
    <row r="13" spans="1:13" x14ac:dyDescent="0.3">
      <c r="A13" s="33"/>
      <c r="B13" s="2" t="s">
        <v>18</v>
      </c>
      <c r="C13" s="3">
        <v>17100</v>
      </c>
      <c r="D13" s="3">
        <v>1864</v>
      </c>
      <c r="E13" s="4">
        <v>10.9</v>
      </c>
      <c r="F13" s="2">
        <v>910</v>
      </c>
      <c r="G13" s="4">
        <v>5.32</v>
      </c>
      <c r="H13" s="2">
        <v>1180</v>
      </c>
      <c r="I13" s="2">
        <v>3660</v>
      </c>
      <c r="J13" s="4">
        <v>0.28000000000000003</v>
      </c>
      <c r="K13" s="2">
        <v>117</v>
      </c>
      <c r="L13" s="2">
        <v>13.9</v>
      </c>
      <c r="M13" s="2">
        <v>59000</v>
      </c>
    </row>
    <row r="14" spans="1:13" x14ac:dyDescent="0.3">
      <c r="A14" s="33"/>
      <c r="B14" s="2" t="s">
        <v>19</v>
      </c>
      <c r="C14" s="3">
        <v>19680</v>
      </c>
      <c r="D14" s="3">
        <v>2184</v>
      </c>
      <c r="E14" s="4">
        <v>11.1</v>
      </c>
      <c r="F14" s="2">
        <v>1105</v>
      </c>
      <c r="G14" s="4">
        <v>5.62</v>
      </c>
      <c r="H14" s="2">
        <v>1420</v>
      </c>
      <c r="I14" s="2">
        <v>3970</v>
      </c>
      <c r="J14" s="4">
        <v>0.25</v>
      </c>
      <c r="K14" s="2">
        <v>129</v>
      </c>
      <c r="L14" s="2">
        <v>16.8</v>
      </c>
      <c r="M14" s="2">
        <v>67000</v>
      </c>
    </row>
    <row r="15" spans="1:13" x14ac:dyDescent="0.3">
      <c r="A15" s="33" t="s">
        <v>21</v>
      </c>
      <c r="B15" s="2" t="s">
        <v>14</v>
      </c>
      <c r="C15" s="3">
        <v>3050</v>
      </c>
      <c r="D15" s="3">
        <v>580</v>
      </c>
      <c r="E15" s="4">
        <v>19.02</v>
      </c>
      <c r="F15" s="2">
        <v>245</v>
      </c>
      <c r="G15" s="4">
        <v>8.0299999999999994</v>
      </c>
      <c r="H15" s="2">
        <v>330</v>
      </c>
      <c r="I15" s="2">
        <v>1280</v>
      </c>
      <c r="J15" s="4">
        <v>0.48</v>
      </c>
      <c r="K15" s="2">
        <v>118</v>
      </c>
      <c r="L15" s="2">
        <v>8.6999999999999993</v>
      </c>
      <c r="M15" s="2">
        <v>9100</v>
      </c>
    </row>
    <row r="16" spans="1:13" x14ac:dyDescent="0.3">
      <c r="A16" s="33"/>
      <c r="B16" s="2" t="s">
        <v>15</v>
      </c>
      <c r="C16" s="3">
        <v>3480</v>
      </c>
      <c r="D16" s="3">
        <v>678</v>
      </c>
      <c r="E16" s="4">
        <v>19.48</v>
      </c>
      <c r="F16" s="2">
        <v>292</v>
      </c>
      <c r="G16" s="4">
        <v>8.39</v>
      </c>
      <c r="H16" s="2">
        <v>386</v>
      </c>
      <c r="I16" s="2">
        <v>1350</v>
      </c>
      <c r="J16" s="4">
        <v>0.44</v>
      </c>
      <c r="K16" s="2">
        <v>126</v>
      </c>
      <c r="L16" s="2">
        <v>10.3</v>
      </c>
      <c r="M16" s="2">
        <v>10200</v>
      </c>
    </row>
    <row r="17" spans="1:13" x14ac:dyDescent="0.3">
      <c r="A17" s="33"/>
      <c r="B17" s="2" t="s">
        <v>16</v>
      </c>
      <c r="C17" s="3">
        <v>4010</v>
      </c>
      <c r="D17" s="3">
        <v>798</v>
      </c>
      <c r="E17" s="4">
        <v>19.899999999999999</v>
      </c>
      <c r="F17" s="2">
        <v>346</v>
      </c>
      <c r="G17" s="4">
        <v>8.6300000000000008</v>
      </c>
      <c r="H17" s="2">
        <v>452</v>
      </c>
      <c r="I17" s="2">
        <v>1440</v>
      </c>
      <c r="J17" s="4">
        <v>0.41</v>
      </c>
      <c r="K17" s="2">
        <v>136</v>
      </c>
      <c r="L17" s="2">
        <v>12.1</v>
      </c>
      <c r="M17" s="2">
        <v>11600</v>
      </c>
    </row>
    <row r="18" spans="1:13" x14ac:dyDescent="0.3">
      <c r="A18" s="33"/>
      <c r="B18" s="2" t="s">
        <v>17</v>
      </c>
      <c r="C18" s="3">
        <v>4620</v>
      </c>
      <c r="D18" s="3">
        <v>942</v>
      </c>
      <c r="E18" s="4">
        <v>20.39</v>
      </c>
      <c r="F18" s="2">
        <v>416</v>
      </c>
      <c r="G18" s="4">
        <v>9</v>
      </c>
      <c r="H18" s="2">
        <v>535</v>
      </c>
      <c r="I18" s="2">
        <v>1545</v>
      </c>
      <c r="J18" s="4">
        <v>0.37</v>
      </c>
      <c r="K18" s="2">
        <v>148</v>
      </c>
      <c r="L18" s="2">
        <v>14.5</v>
      </c>
      <c r="M18" s="2">
        <v>13200</v>
      </c>
    </row>
    <row r="19" spans="1:13" x14ac:dyDescent="0.3">
      <c r="A19" s="33"/>
      <c r="B19" s="2" t="s">
        <v>18</v>
      </c>
      <c r="C19" s="3">
        <v>5320</v>
      </c>
      <c r="D19" s="3">
        <v>1117</v>
      </c>
      <c r="E19" s="4">
        <v>21</v>
      </c>
      <c r="F19" s="2">
        <v>505</v>
      </c>
      <c r="G19" s="4">
        <v>9.49</v>
      </c>
      <c r="H19" s="2">
        <v>635</v>
      </c>
      <c r="I19" s="2">
        <v>1660</v>
      </c>
      <c r="J19" s="4">
        <v>0.34</v>
      </c>
      <c r="K19" s="2">
        <v>161</v>
      </c>
      <c r="L19" s="2">
        <v>17.600000000000001</v>
      </c>
      <c r="M19" s="2">
        <v>14900</v>
      </c>
    </row>
    <row r="20" spans="1:13" x14ac:dyDescent="0.3">
      <c r="A20" s="33"/>
      <c r="B20" s="2" t="s">
        <v>19</v>
      </c>
      <c r="C20" s="3">
        <v>6120</v>
      </c>
      <c r="D20" s="3">
        <v>1305</v>
      </c>
      <c r="E20" s="4">
        <v>21.32</v>
      </c>
      <c r="F20" s="2">
        <v>602</v>
      </c>
      <c r="G20" s="4">
        <v>9.84</v>
      </c>
      <c r="H20" s="2">
        <v>748</v>
      </c>
      <c r="I20" s="2">
        <v>1785</v>
      </c>
      <c r="J20" s="4">
        <v>0.31</v>
      </c>
      <c r="K20" s="2">
        <v>176</v>
      </c>
      <c r="L20" s="2">
        <v>20.9</v>
      </c>
      <c r="M20" s="2">
        <v>16800</v>
      </c>
    </row>
    <row r="21" spans="1:13" x14ac:dyDescent="0.3">
      <c r="A21" s="33" t="s">
        <v>22</v>
      </c>
      <c r="B21" s="2" t="s">
        <v>14</v>
      </c>
      <c r="C21" s="3">
        <v>6450</v>
      </c>
      <c r="D21" s="3">
        <v>2193</v>
      </c>
      <c r="E21" s="4">
        <v>34</v>
      </c>
      <c r="F21" s="2">
        <v>525</v>
      </c>
      <c r="G21" s="4">
        <v>8.14</v>
      </c>
      <c r="H21" s="2">
        <v>840</v>
      </c>
      <c r="I21" s="2">
        <v>11250</v>
      </c>
      <c r="J21" s="4">
        <v>1.65</v>
      </c>
      <c r="K21" s="2">
        <v>76</v>
      </c>
      <c r="L21" s="2">
        <v>4.0999999999999996</v>
      </c>
      <c r="M21" s="2">
        <v>24700</v>
      </c>
    </row>
    <row r="22" spans="1:13" x14ac:dyDescent="0.3">
      <c r="A22" s="33"/>
      <c r="B22" s="2" t="s">
        <v>15</v>
      </c>
      <c r="C22" s="3">
        <v>7120</v>
      </c>
      <c r="D22" s="3">
        <v>2463</v>
      </c>
      <c r="E22" s="4">
        <v>34.6</v>
      </c>
      <c r="F22" s="2">
        <v>618</v>
      </c>
      <c r="G22" s="4">
        <v>8.68</v>
      </c>
      <c r="H22" s="2">
        <v>960</v>
      </c>
      <c r="I22" s="2">
        <v>11680</v>
      </c>
      <c r="J22" s="4">
        <v>1.56</v>
      </c>
      <c r="K22" s="2">
        <v>82</v>
      </c>
      <c r="L22" s="2">
        <v>4.9000000000000004</v>
      </c>
      <c r="M22" s="2">
        <v>26500</v>
      </c>
    </row>
    <row r="23" spans="1:13" x14ac:dyDescent="0.3">
      <c r="A23" s="33"/>
      <c r="B23" s="2" t="s">
        <v>16</v>
      </c>
      <c r="C23" s="3">
        <v>7890</v>
      </c>
      <c r="D23" s="3">
        <v>2762</v>
      </c>
      <c r="E23" s="4">
        <v>35</v>
      </c>
      <c r="F23" s="2">
        <v>735</v>
      </c>
      <c r="G23" s="4">
        <v>9.32</v>
      </c>
      <c r="H23" s="2">
        <v>1115</v>
      </c>
      <c r="I23" s="2">
        <v>12150</v>
      </c>
      <c r="J23" s="4">
        <v>1.47</v>
      </c>
      <c r="K23" s="2">
        <v>89</v>
      </c>
      <c r="L23" s="2">
        <v>5.9</v>
      </c>
      <c r="M23" s="2">
        <v>28800</v>
      </c>
    </row>
    <row r="24" spans="1:13" x14ac:dyDescent="0.3">
      <c r="A24" s="33"/>
      <c r="B24" s="2" t="s">
        <v>17</v>
      </c>
      <c r="C24" s="3">
        <v>8740</v>
      </c>
      <c r="D24" s="3">
        <v>3103</v>
      </c>
      <c r="E24" s="4">
        <v>35.5</v>
      </c>
      <c r="F24" s="2">
        <v>872</v>
      </c>
      <c r="G24" s="4">
        <v>9.98</v>
      </c>
      <c r="H24" s="2">
        <v>1295</v>
      </c>
      <c r="I24" s="2">
        <v>12690</v>
      </c>
      <c r="J24" s="4">
        <v>1.39</v>
      </c>
      <c r="K24" s="2">
        <v>98</v>
      </c>
      <c r="L24" s="2">
        <v>7</v>
      </c>
      <c r="M24" s="2">
        <v>31400</v>
      </c>
    </row>
    <row r="25" spans="1:13" x14ac:dyDescent="0.3">
      <c r="A25" s="33"/>
      <c r="B25" s="2" t="s">
        <v>18</v>
      </c>
      <c r="C25" s="3">
        <v>9690</v>
      </c>
      <c r="D25" s="3">
        <v>3498</v>
      </c>
      <c r="E25" s="4">
        <v>36.1</v>
      </c>
      <c r="F25" s="2">
        <v>1035</v>
      </c>
      <c r="G25" s="4">
        <v>10.68</v>
      </c>
      <c r="H25" s="2">
        <v>1505</v>
      </c>
      <c r="I25" s="2">
        <v>13280</v>
      </c>
      <c r="J25" s="4">
        <v>1.3</v>
      </c>
      <c r="K25" s="2">
        <v>108</v>
      </c>
      <c r="L25" s="2">
        <v>8.3000000000000007</v>
      </c>
      <c r="M25" s="2">
        <v>34300</v>
      </c>
    </row>
    <row r="26" spans="1:13" x14ac:dyDescent="0.3">
      <c r="A26" s="33"/>
      <c r="B26" s="2" t="s">
        <v>19</v>
      </c>
      <c r="C26" s="3">
        <v>10750</v>
      </c>
      <c r="D26" s="3">
        <v>3913</v>
      </c>
      <c r="E26" s="4">
        <v>36.4</v>
      </c>
      <c r="F26" s="2">
        <v>1215</v>
      </c>
      <c r="G26" s="4">
        <v>11.3</v>
      </c>
      <c r="H26" s="2">
        <v>1730</v>
      </c>
      <c r="I26" s="2">
        <v>13920</v>
      </c>
      <c r="J26" s="4">
        <v>1.22</v>
      </c>
      <c r="K26" s="2">
        <v>119</v>
      </c>
      <c r="L26" s="2">
        <v>9.8000000000000007</v>
      </c>
      <c r="M26" s="2">
        <v>37500</v>
      </c>
    </row>
    <row r="27" spans="1:13" x14ac:dyDescent="0.3">
      <c r="A27" s="33" t="s">
        <v>23</v>
      </c>
      <c r="B27" s="2" t="s">
        <v>14</v>
      </c>
      <c r="C27" s="3">
        <v>4120</v>
      </c>
      <c r="D27" s="3">
        <v>700</v>
      </c>
      <c r="E27" s="4">
        <v>16.989999999999998</v>
      </c>
      <c r="F27" s="2">
        <v>262</v>
      </c>
      <c r="G27" s="4">
        <v>6.36</v>
      </c>
      <c r="H27" s="2">
        <v>355</v>
      </c>
      <c r="I27" s="2">
        <v>1650</v>
      </c>
      <c r="J27" s="4">
        <v>0.57999999999999996</v>
      </c>
      <c r="K27" s="2">
        <v>104</v>
      </c>
      <c r="L27" s="2">
        <v>9.1999999999999993</v>
      </c>
      <c r="M27" s="2">
        <v>11800</v>
      </c>
    </row>
    <row r="28" spans="1:13" x14ac:dyDescent="0.3">
      <c r="A28" s="33"/>
      <c r="B28" s="2" t="s">
        <v>15</v>
      </c>
      <c r="C28" s="3">
        <v>4720</v>
      </c>
      <c r="D28" s="3">
        <v>826</v>
      </c>
      <c r="E28" s="4">
        <v>17.5</v>
      </c>
      <c r="F28" s="2">
        <v>322</v>
      </c>
      <c r="G28" s="4">
        <v>6.82</v>
      </c>
      <c r="H28" s="2">
        <v>432</v>
      </c>
      <c r="I28" s="2">
        <v>1760</v>
      </c>
      <c r="J28" s="4">
        <v>0.54</v>
      </c>
      <c r="K28" s="2">
        <v>113</v>
      </c>
      <c r="L28" s="2">
        <v>11.1</v>
      </c>
      <c r="M28" s="2">
        <v>13200</v>
      </c>
    </row>
    <row r="29" spans="1:13" x14ac:dyDescent="0.3">
      <c r="A29" s="33"/>
      <c r="B29" s="2" t="s">
        <v>16</v>
      </c>
      <c r="C29" s="3">
        <v>5430</v>
      </c>
      <c r="D29" s="3">
        <v>983</v>
      </c>
      <c r="E29" s="4">
        <v>18.100000000000001</v>
      </c>
      <c r="F29" s="2">
        <v>398</v>
      </c>
      <c r="G29" s="4">
        <v>7.33</v>
      </c>
      <c r="H29" s="2">
        <v>525</v>
      </c>
      <c r="I29" s="2">
        <v>1880</v>
      </c>
      <c r="J29" s="4">
        <v>0.49</v>
      </c>
      <c r="K29" s="2">
        <v>123</v>
      </c>
      <c r="L29" s="2">
        <v>13.5</v>
      </c>
      <c r="M29" s="2">
        <v>14900</v>
      </c>
    </row>
    <row r="30" spans="1:13" x14ac:dyDescent="0.3">
      <c r="A30" s="33"/>
      <c r="B30" s="2" t="s">
        <v>17</v>
      </c>
      <c r="C30" s="3">
        <v>6230</v>
      </c>
      <c r="D30" s="3">
        <v>1147</v>
      </c>
      <c r="E30" s="4">
        <v>18.41</v>
      </c>
      <c r="F30" s="2">
        <v>486</v>
      </c>
      <c r="G30" s="4">
        <v>7.8</v>
      </c>
      <c r="H30" s="2">
        <v>632</v>
      </c>
      <c r="I30" s="2">
        <v>2010</v>
      </c>
      <c r="J30" s="4">
        <v>0.45</v>
      </c>
      <c r="K30" s="2">
        <v>135</v>
      </c>
      <c r="L30" s="2">
        <v>16.2</v>
      </c>
      <c r="M30" s="2">
        <v>16800</v>
      </c>
    </row>
    <row r="31" spans="1:13" x14ac:dyDescent="0.3">
      <c r="A31" s="33"/>
      <c r="B31" s="2" t="s">
        <v>18</v>
      </c>
      <c r="C31" s="3">
        <v>7140</v>
      </c>
      <c r="D31" s="3">
        <v>1335</v>
      </c>
      <c r="E31" s="4">
        <v>18.7</v>
      </c>
      <c r="F31" s="2">
        <v>592</v>
      </c>
      <c r="G31" s="4">
        <v>8.2899999999999991</v>
      </c>
      <c r="H31" s="2">
        <v>755</v>
      </c>
      <c r="I31" s="2">
        <v>2150</v>
      </c>
      <c r="J31" s="4">
        <v>0.41</v>
      </c>
      <c r="K31" s="2">
        <v>148</v>
      </c>
      <c r="L31" s="2">
        <v>19.600000000000001</v>
      </c>
      <c r="M31" s="2">
        <v>19000</v>
      </c>
    </row>
    <row r="32" spans="1:13" x14ac:dyDescent="0.3">
      <c r="A32" s="33"/>
      <c r="B32" s="2" t="s">
        <v>19</v>
      </c>
      <c r="C32" s="3">
        <v>8160</v>
      </c>
      <c r="D32" s="3">
        <v>1542</v>
      </c>
      <c r="E32" s="4">
        <v>18.899999999999999</v>
      </c>
      <c r="F32" s="2">
        <v>715</v>
      </c>
      <c r="G32" s="4">
        <v>8.76</v>
      </c>
      <c r="H32" s="2">
        <v>896</v>
      </c>
      <c r="I32" s="2">
        <v>2310</v>
      </c>
      <c r="J32" s="4">
        <v>0.38</v>
      </c>
      <c r="K32" s="2">
        <v>163</v>
      </c>
      <c r="L32" s="2">
        <v>23.4</v>
      </c>
      <c r="M32" s="2">
        <v>21400</v>
      </c>
    </row>
  </sheetData>
  <mergeCells count="6">
    <mergeCell ref="A27:A32"/>
    <mergeCell ref="A1:M1"/>
    <mergeCell ref="A3:A8"/>
    <mergeCell ref="A9:A14"/>
    <mergeCell ref="A15:A20"/>
    <mergeCell ref="A21:A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ED53-2642-473A-89E4-E0719035B285}">
  <dimension ref="A2:Q57"/>
  <sheetViews>
    <sheetView workbookViewId="0">
      <selection activeCell="C8" sqref="C8"/>
    </sheetView>
  </sheetViews>
  <sheetFormatPr defaultColWidth="22.88671875" defaultRowHeight="14.4" x14ac:dyDescent="0.3"/>
  <cols>
    <col min="1" max="1" width="18.44140625" bestFit="1" customWidth="1"/>
    <col min="2" max="2" width="16.88671875" bestFit="1" customWidth="1"/>
    <col min="3" max="3" width="22.44140625" bestFit="1" customWidth="1"/>
    <col min="4" max="4" width="11.5546875" bestFit="1" customWidth="1"/>
    <col min="5" max="5" width="13.44140625" bestFit="1" customWidth="1"/>
    <col min="6" max="6" width="10.44140625" bestFit="1" customWidth="1"/>
    <col min="7" max="7" width="10.6640625" bestFit="1" customWidth="1"/>
    <col min="8" max="8" width="14.5546875" bestFit="1" customWidth="1"/>
    <col min="9" max="9" width="15" bestFit="1" customWidth="1"/>
    <col min="10" max="10" width="20.33203125" bestFit="1" customWidth="1"/>
    <col min="11" max="11" width="23.6640625" bestFit="1" customWidth="1"/>
    <col min="12" max="12" width="16" bestFit="1" customWidth="1"/>
    <col min="13" max="13" width="15" bestFit="1" customWidth="1"/>
    <col min="14" max="14" width="13.6640625" customWidth="1"/>
    <col min="15" max="15" width="17.21875" bestFit="1" customWidth="1"/>
    <col min="16" max="17" width="5.77734375" bestFit="1" customWidth="1"/>
  </cols>
  <sheetData>
    <row r="2" spans="1:17" x14ac:dyDescent="0.3">
      <c r="A2" s="23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24" t="s">
        <v>12</v>
      </c>
      <c r="O2" s="1" t="s">
        <v>26</v>
      </c>
      <c r="P2" s="1" t="s">
        <v>24</v>
      </c>
      <c r="Q2" s="7"/>
    </row>
    <row r="3" spans="1:17" x14ac:dyDescent="0.3">
      <c r="A3" s="20" t="s">
        <v>13</v>
      </c>
      <c r="B3" s="2" t="s">
        <v>14</v>
      </c>
      <c r="C3" s="3">
        <v>148000</v>
      </c>
      <c r="D3" s="3">
        <v>16872</v>
      </c>
      <c r="E3" s="4">
        <v>11.4</v>
      </c>
      <c r="F3" s="3">
        <v>9650</v>
      </c>
      <c r="G3" s="4">
        <v>6.52</v>
      </c>
      <c r="H3" s="13">
        <v>12340</v>
      </c>
      <c r="I3" s="3">
        <v>68200</v>
      </c>
      <c r="J3" s="4">
        <v>1.1200000000000001</v>
      </c>
      <c r="K3" s="2">
        <v>512</v>
      </c>
      <c r="L3" s="2">
        <v>69.2</v>
      </c>
      <c r="M3" s="21">
        <v>325000</v>
      </c>
      <c r="O3" s="2" t="s">
        <v>25</v>
      </c>
      <c r="P3" s="5">
        <v>0.12</v>
      </c>
      <c r="Q3" s="8"/>
    </row>
    <row r="4" spans="1:17" x14ac:dyDescent="0.3">
      <c r="A4" s="20" t="s">
        <v>13</v>
      </c>
      <c r="B4" s="2" t="s">
        <v>15</v>
      </c>
      <c r="C4" s="3">
        <v>163500</v>
      </c>
      <c r="D4" s="3">
        <v>18966</v>
      </c>
      <c r="E4" s="4">
        <v>11.6</v>
      </c>
      <c r="F4" s="3">
        <v>10820</v>
      </c>
      <c r="G4" s="4">
        <v>6.62</v>
      </c>
      <c r="H4" s="13">
        <v>13650</v>
      </c>
      <c r="I4" s="3">
        <v>70500</v>
      </c>
      <c r="J4" s="4">
        <v>1.08</v>
      </c>
      <c r="K4" s="2">
        <v>545</v>
      </c>
      <c r="L4" s="2">
        <v>77.099999999999994</v>
      </c>
      <c r="M4" s="21">
        <v>345000</v>
      </c>
      <c r="O4" s="2" t="s">
        <v>34</v>
      </c>
      <c r="P4" s="5">
        <v>0.1</v>
      </c>
      <c r="Q4" s="8"/>
    </row>
    <row r="5" spans="1:17" x14ac:dyDescent="0.3">
      <c r="A5" s="20" t="s">
        <v>13</v>
      </c>
      <c r="B5" s="2" t="s">
        <v>16</v>
      </c>
      <c r="C5" s="3">
        <v>182800</v>
      </c>
      <c r="D5" s="3">
        <v>21410</v>
      </c>
      <c r="E5" s="4">
        <v>11.71</v>
      </c>
      <c r="F5" s="3">
        <v>12340</v>
      </c>
      <c r="G5" s="4">
        <v>6.75</v>
      </c>
      <c r="H5" s="13">
        <v>15120</v>
      </c>
      <c r="I5" s="3">
        <v>73600</v>
      </c>
      <c r="J5" s="4">
        <v>1.02</v>
      </c>
      <c r="K5" s="2">
        <v>586</v>
      </c>
      <c r="L5" s="2">
        <v>88.2</v>
      </c>
      <c r="M5" s="21">
        <v>372000</v>
      </c>
      <c r="O5" s="2" t="s">
        <v>35</v>
      </c>
      <c r="P5" s="5">
        <v>0.1</v>
      </c>
      <c r="Q5" s="8"/>
    </row>
    <row r="6" spans="1:17" x14ac:dyDescent="0.3">
      <c r="A6" s="20" t="s">
        <v>13</v>
      </c>
      <c r="B6" s="2" t="s">
        <v>17</v>
      </c>
      <c r="C6" s="3">
        <v>208400</v>
      </c>
      <c r="D6" s="3">
        <v>24800</v>
      </c>
      <c r="E6" s="4">
        <v>11.9</v>
      </c>
      <c r="F6" s="3">
        <v>14580</v>
      </c>
      <c r="G6" s="4">
        <v>7</v>
      </c>
      <c r="H6" s="13">
        <v>17420</v>
      </c>
      <c r="I6" s="3">
        <v>77100</v>
      </c>
      <c r="J6" s="4">
        <v>0.98</v>
      </c>
      <c r="K6" s="2">
        <v>628</v>
      </c>
      <c r="L6" s="2">
        <v>104.3</v>
      </c>
      <c r="M6" s="21">
        <v>408000</v>
      </c>
      <c r="O6" s="2" t="s">
        <v>36</v>
      </c>
      <c r="P6" s="5">
        <v>0.08</v>
      </c>
      <c r="Q6" s="8"/>
    </row>
    <row r="7" spans="1:17" x14ac:dyDescent="0.3">
      <c r="A7" s="20" t="s">
        <v>13</v>
      </c>
      <c r="B7" s="2" t="s">
        <v>18</v>
      </c>
      <c r="C7" s="3">
        <v>234700</v>
      </c>
      <c r="D7" s="3">
        <v>28270</v>
      </c>
      <c r="E7" s="4">
        <v>12.04</v>
      </c>
      <c r="F7" s="3">
        <v>16890</v>
      </c>
      <c r="G7" s="4">
        <v>7.2</v>
      </c>
      <c r="H7" s="13">
        <v>19860</v>
      </c>
      <c r="I7" s="3">
        <v>80900</v>
      </c>
      <c r="J7" s="4">
        <v>0.95</v>
      </c>
      <c r="K7" s="2">
        <v>675</v>
      </c>
      <c r="L7" s="2">
        <v>120.7</v>
      </c>
      <c r="M7" s="21">
        <v>446000</v>
      </c>
      <c r="O7" s="2" t="s">
        <v>37</v>
      </c>
      <c r="P7" s="5">
        <v>7.0000000000000007E-2</v>
      </c>
      <c r="Q7" s="8"/>
    </row>
    <row r="8" spans="1:17" x14ac:dyDescent="0.3">
      <c r="A8" s="20" t="s">
        <v>13</v>
      </c>
      <c r="B8" s="2" t="s">
        <v>19</v>
      </c>
      <c r="C8" s="3">
        <v>261900</v>
      </c>
      <c r="D8" s="3">
        <v>31950</v>
      </c>
      <c r="E8" s="4">
        <v>12.2</v>
      </c>
      <c r="F8" s="3">
        <v>19280</v>
      </c>
      <c r="G8" s="4">
        <v>7.36</v>
      </c>
      <c r="H8" s="13">
        <v>22480</v>
      </c>
      <c r="I8" s="3">
        <v>85200</v>
      </c>
      <c r="J8" s="4">
        <v>0.92</v>
      </c>
      <c r="K8" s="2">
        <v>724</v>
      </c>
      <c r="L8" s="2">
        <v>137.80000000000001</v>
      </c>
      <c r="M8" s="21">
        <v>485000</v>
      </c>
      <c r="O8" s="2" t="s">
        <v>27</v>
      </c>
      <c r="P8" s="5">
        <v>0.03</v>
      </c>
      <c r="Q8" s="8"/>
    </row>
    <row r="9" spans="1:17" x14ac:dyDescent="0.3">
      <c r="A9" s="20" t="s">
        <v>13</v>
      </c>
      <c r="B9" s="6" t="s">
        <v>29</v>
      </c>
      <c r="C9" s="10">
        <f>C8*(1+$P$3)</f>
        <v>293328</v>
      </c>
      <c r="D9" s="10">
        <f>D8*(1+$P$4)</f>
        <v>35145</v>
      </c>
      <c r="E9" s="11">
        <f>$P$4</f>
        <v>0.1</v>
      </c>
      <c r="F9" s="10">
        <f>F8*(1+$P$5)</f>
        <v>21208</v>
      </c>
      <c r="G9" s="11">
        <f>$P$5</f>
        <v>0.1</v>
      </c>
      <c r="H9" s="14">
        <f>H8*(1+$P$6)</f>
        <v>24278.400000000001</v>
      </c>
      <c r="I9" s="10">
        <f>I8*(1+$P$7)</f>
        <v>91164</v>
      </c>
      <c r="J9" s="12">
        <f>J8*(1+$P$8)</f>
        <v>0.94760000000000011</v>
      </c>
      <c r="K9" s="16">
        <f>K8*(1+$P$9)</f>
        <v>760.2</v>
      </c>
      <c r="L9" s="15">
        <f>L8*(1+$P$10)</f>
        <v>151.58000000000001</v>
      </c>
      <c r="M9" s="22">
        <f>M8*(1+$P$11)</f>
        <v>543200</v>
      </c>
      <c r="O9" s="2" t="s">
        <v>38</v>
      </c>
      <c r="P9" s="5">
        <v>0.05</v>
      </c>
      <c r="Q9" s="8"/>
    </row>
    <row r="10" spans="1:17" x14ac:dyDescent="0.3">
      <c r="A10" s="20" t="s">
        <v>13</v>
      </c>
      <c r="B10" s="6" t="s">
        <v>30</v>
      </c>
      <c r="C10" s="10">
        <f t="shared" ref="C10:C13" si="0">C9*(1+$P$3)</f>
        <v>328527.36000000004</v>
      </c>
      <c r="D10" s="10">
        <f t="shared" ref="D10:D13" si="1">D9*(1+$P$4)</f>
        <v>38659.5</v>
      </c>
      <c r="E10" s="11">
        <f t="shared" ref="E10:E13" si="2">$P$4</f>
        <v>0.1</v>
      </c>
      <c r="F10" s="10">
        <f t="shared" ref="F10:F13" si="3">F9*(1+$P$5)</f>
        <v>23328.800000000003</v>
      </c>
      <c r="G10" s="11">
        <f t="shared" ref="G10:G13" si="4">$P$5</f>
        <v>0.1</v>
      </c>
      <c r="H10" s="14">
        <f t="shared" ref="H10:H13" si="5">H9*(1+$P$6)</f>
        <v>26220.672000000002</v>
      </c>
      <c r="I10" s="10">
        <f t="shared" ref="I10:I13" si="6">I9*(1+$P$7)</f>
        <v>97545.48000000001</v>
      </c>
      <c r="J10" s="12">
        <f t="shared" ref="J10:J13" si="7">J9*(1+$P$8)</f>
        <v>0.97602800000000012</v>
      </c>
      <c r="K10" s="16">
        <f t="shared" ref="K10:K13" si="8">K9*(1+$P$9)</f>
        <v>798.21</v>
      </c>
      <c r="L10" s="15">
        <f t="shared" ref="L10:L13" si="9">L9*(1+$P$10)</f>
        <v>166.73800000000003</v>
      </c>
      <c r="M10" s="22">
        <f t="shared" ref="M10:M13" si="10">M9*(1+$P$11)</f>
        <v>608384</v>
      </c>
      <c r="O10" s="2" t="s">
        <v>39</v>
      </c>
      <c r="P10" s="5">
        <v>0.1</v>
      </c>
      <c r="Q10" s="8"/>
    </row>
    <row r="11" spans="1:17" x14ac:dyDescent="0.3">
      <c r="A11" s="20" t="s">
        <v>13</v>
      </c>
      <c r="B11" s="6" t="s">
        <v>31</v>
      </c>
      <c r="C11" s="10">
        <f t="shared" si="0"/>
        <v>367950.64320000011</v>
      </c>
      <c r="D11" s="10">
        <f t="shared" si="1"/>
        <v>42525.450000000004</v>
      </c>
      <c r="E11" s="11">
        <f t="shared" si="2"/>
        <v>0.1</v>
      </c>
      <c r="F11" s="10">
        <f t="shared" si="3"/>
        <v>25661.680000000004</v>
      </c>
      <c r="G11" s="11">
        <f t="shared" si="4"/>
        <v>0.1</v>
      </c>
      <c r="H11" s="14">
        <f t="shared" si="5"/>
        <v>28318.325760000003</v>
      </c>
      <c r="I11" s="10">
        <f t="shared" si="6"/>
        <v>104373.66360000001</v>
      </c>
      <c r="J11" s="12">
        <f t="shared" si="7"/>
        <v>1.0053088400000001</v>
      </c>
      <c r="K11" s="16">
        <f t="shared" si="8"/>
        <v>838.12050000000011</v>
      </c>
      <c r="L11" s="15">
        <f t="shared" si="9"/>
        <v>183.41180000000006</v>
      </c>
      <c r="M11" s="22">
        <f t="shared" si="10"/>
        <v>681390.08000000007</v>
      </c>
      <c r="O11" s="2" t="s">
        <v>28</v>
      </c>
      <c r="P11" s="5">
        <v>0.12</v>
      </c>
      <c r="Q11" s="8"/>
    </row>
    <row r="12" spans="1:17" x14ac:dyDescent="0.3">
      <c r="A12" s="20" t="s">
        <v>13</v>
      </c>
      <c r="B12" s="6" t="s">
        <v>32</v>
      </c>
      <c r="C12" s="10">
        <f t="shared" si="0"/>
        <v>412104.72038400016</v>
      </c>
      <c r="D12" s="10">
        <f t="shared" si="1"/>
        <v>46777.99500000001</v>
      </c>
      <c r="E12" s="11">
        <f t="shared" si="2"/>
        <v>0.1</v>
      </c>
      <c r="F12" s="10">
        <f t="shared" si="3"/>
        <v>28227.848000000005</v>
      </c>
      <c r="G12" s="11">
        <f t="shared" si="4"/>
        <v>0.1</v>
      </c>
      <c r="H12" s="14">
        <f t="shared" si="5"/>
        <v>30583.791820800005</v>
      </c>
      <c r="I12" s="10">
        <f t="shared" si="6"/>
        <v>111679.82005200002</v>
      </c>
      <c r="J12" s="12">
        <f t="shared" si="7"/>
        <v>1.0354681052000001</v>
      </c>
      <c r="K12" s="16">
        <f t="shared" si="8"/>
        <v>880.02652500000011</v>
      </c>
      <c r="L12" s="15">
        <f t="shared" si="9"/>
        <v>201.75298000000006</v>
      </c>
      <c r="M12" s="22">
        <f t="shared" si="10"/>
        <v>763156.88960000011</v>
      </c>
      <c r="O12" s="9"/>
      <c r="P12" s="9"/>
      <c r="Q12" s="8"/>
    </row>
    <row r="13" spans="1:17" x14ac:dyDescent="0.3">
      <c r="A13" s="20" t="s">
        <v>13</v>
      </c>
      <c r="B13" s="6" t="s">
        <v>33</v>
      </c>
      <c r="C13" s="10">
        <f t="shared" si="0"/>
        <v>461557.28683008021</v>
      </c>
      <c r="D13" s="10">
        <f t="shared" si="1"/>
        <v>51455.794500000018</v>
      </c>
      <c r="E13" s="11">
        <f t="shared" si="2"/>
        <v>0.1</v>
      </c>
      <c r="F13" s="10">
        <f t="shared" si="3"/>
        <v>31050.632800000007</v>
      </c>
      <c r="G13" s="11">
        <f t="shared" si="4"/>
        <v>0.1</v>
      </c>
      <c r="H13" s="14">
        <f t="shared" si="5"/>
        <v>33030.49516646401</v>
      </c>
      <c r="I13" s="10">
        <f t="shared" si="6"/>
        <v>119497.40745564003</v>
      </c>
      <c r="J13" s="12">
        <f t="shared" si="7"/>
        <v>1.0665321483560002</v>
      </c>
      <c r="K13" s="16">
        <f t="shared" si="8"/>
        <v>924.02785125000014</v>
      </c>
      <c r="L13" s="15">
        <f t="shared" si="9"/>
        <v>221.92827800000009</v>
      </c>
      <c r="M13" s="22">
        <f t="shared" si="10"/>
        <v>854735.71635200025</v>
      </c>
      <c r="O13" s="9"/>
      <c r="P13" s="9"/>
      <c r="Q13" s="8"/>
    </row>
    <row r="14" spans="1:17" x14ac:dyDescent="0.3">
      <c r="A14" s="20" t="s">
        <v>20</v>
      </c>
      <c r="B14" s="2" t="s">
        <v>14</v>
      </c>
      <c r="C14" s="3">
        <v>8900</v>
      </c>
      <c r="D14" s="3">
        <v>890</v>
      </c>
      <c r="E14" s="4">
        <v>10</v>
      </c>
      <c r="F14" s="3">
        <v>360</v>
      </c>
      <c r="G14" s="4">
        <v>4.04</v>
      </c>
      <c r="H14" s="13">
        <v>520</v>
      </c>
      <c r="I14" s="3">
        <v>2750</v>
      </c>
      <c r="J14" s="4">
        <v>0.42</v>
      </c>
      <c r="K14" s="2">
        <v>86</v>
      </c>
      <c r="L14" s="2">
        <v>5.8</v>
      </c>
      <c r="M14" s="21">
        <v>36000</v>
      </c>
      <c r="O14" s="9"/>
      <c r="P14" s="9"/>
      <c r="Q14" s="8"/>
    </row>
    <row r="15" spans="1:17" x14ac:dyDescent="0.3">
      <c r="A15" s="20" t="s">
        <v>20</v>
      </c>
      <c r="B15" s="2" t="s">
        <v>15</v>
      </c>
      <c r="C15" s="3">
        <v>10450</v>
      </c>
      <c r="D15" s="3">
        <v>1076</v>
      </c>
      <c r="E15" s="4">
        <v>10.3</v>
      </c>
      <c r="F15" s="3">
        <v>470</v>
      </c>
      <c r="G15" s="4">
        <v>4.5</v>
      </c>
      <c r="H15" s="13">
        <v>650</v>
      </c>
      <c r="I15" s="3">
        <v>2920</v>
      </c>
      <c r="J15" s="4">
        <v>0.38</v>
      </c>
      <c r="K15" s="2">
        <v>91</v>
      </c>
      <c r="L15" s="2">
        <v>7.2</v>
      </c>
      <c r="M15" s="21">
        <v>40500</v>
      </c>
      <c r="O15" s="9"/>
      <c r="P15" s="9"/>
      <c r="Q15" s="8"/>
    </row>
    <row r="16" spans="1:17" x14ac:dyDescent="0.3">
      <c r="A16" s="20" t="s">
        <v>20</v>
      </c>
      <c r="B16" s="2" t="s">
        <v>16</v>
      </c>
      <c r="C16" s="3">
        <v>12380</v>
      </c>
      <c r="D16" s="3">
        <v>1300</v>
      </c>
      <c r="E16" s="4">
        <v>10.5</v>
      </c>
      <c r="F16" s="3">
        <v>585</v>
      </c>
      <c r="G16" s="4">
        <v>4.72</v>
      </c>
      <c r="H16" s="13">
        <v>790</v>
      </c>
      <c r="I16" s="3">
        <v>3140</v>
      </c>
      <c r="J16" s="4">
        <v>0.34</v>
      </c>
      <c r="K16" s="2">
        <v>98</v>
      </c>
      <c r="L16" s="2">
        <v>8.9</v>
      </c>
      <c r="M16" s="21">
        <v>45500</v>
      </c>
      <c r="O16" s="9"/>
      <c r="P16" s="9"/>
      <c r="Q16" s="8"/>
    </row>
    <row r="17" spans="1:17" x14ac:dyDescent="0.3">
      <c r="A17" s="20" t="s">
        <v>20</v>
      </c>
      <c r="B17" s="2" t="s">
        <v>17</v>
      </c>
      <c r="C17" s="3">
        <v>14650</v>
      </c>
      <c r="D17" s="3">
        <v>1568</v>
      </c>
      <c r="E17" s="4">
        <v>10.7</v>
      </c>
      <c r="F17" s="3">
        <v>735</v>
      </c>
      <c r="G17" s="4">
        <v>5.0199999999999996</v>
      </c>
      <c r="H17" s="13">
        <v>960</v>
      </c>
      <c r="I17" s="3">
        <v>3380</v>
      </c>
      <c r="J17" s="4">
        <v>0.31</v>
      </c>
      <c r="K17" s="2">
        <v>107</v>
      </c>
      <c r="L17" s="2">
        <v>11.2</v>
      </c>
      <c r="M17" s="21">
        <v>51500</v>
      </c>
      <c r="O17" s="9"/>
      <c r="P17" s="9"/>
      <c r="Q17" s="8"/>
    </row>
    <row r="18" spans="1:17" x14ac:dyDescent="0.3">
      <c r="A18" s="20" t="s">
        <v>20</v>
      </c>
      <c r="B18" s="2" t="s">
        <v>18</v>
      </c>
      <c r="C18" s="3">
        <v>17100</v>
      </c>
      <c r="D18" s="3">
        <v>1864</v>
      </c>
      <c r="E18" s="4">
        <v>10.9</v>
      </c>
      <c r="F18" s="3">
        <v>910</v>
      </c>
      <c r="G18" s="4">
        <v>5.32</v>
      </c>
      <c r="H18" s="13">
        <v>1180</v>
      </c>
      <c r="I18" s="3">
        <v>3660</v>
      </c>
      <c r="J18" s="4">
        <v>0.28000000000000003</v>
      </c>
      <c r="K18" s="2">
        <v>117</v>
      </c>
      <c r="L18" s="2">
        <v>13.9</v>
      </c>
      <c r="M18" s="21">
        <v>59000</v>
      </c>
      <c r="O18" s="9"/>
      <c r="P18" s="9"/>
      <c r="Q18" s="8"/>
    </row>
    <row r="19" spans="1:17" x14ac:dyDescent="0.3">
      <c r="A19" s="20" t="s">
        <v>20</v>
      </c>
      <c r="B19" s="2" t="s">
        <v>19</v>
      </c>
      <c r="C19" s="3">
        <v>19680</v>
      </c>
      <c r="D19" s="3">
        <v>2184</v>
      </c>
      <c r="E19" s="4">
        <v>11.1</v>
      </c>
      <c r="F19" s="3">
        <v>1105</v>
      </c>
      <c r="G19" s="4">
        <v>5.62</v>
      </c>
      <c r="H19" s="13">
        <v>1420</v>
      </c>
      <c r="I19" s="3">
        <v>3970</v>
      </c>
      <c r="J19" s="4">
        <v>0.25</v>
      </c>
      <c r="K19" s="2">
        <v>129</v>
      </c>
      <c r="L19" s="2">
        <v>16.8</v>
      </c>
      <c r="M19" s="21">
        <v>67000</v>
      </c>
      <c r="O19" s="9"/>
      <c r="P19" s="9"/>
      <c r="Q19" s="8"/>
    </row>
    <row r="20" spans="1:17" x14ac:dyDescent="0.3">
      <c r="A20" s="20" t="s">
        <v>20</v>
      </c>
      <c r="B20" s="6" t="s">
        <v>29</v>
      </c>
      <c r="C20" s="10">
        <f>C19*(1+$P$3)</f>
        <v>22041.600000000002</v>
      </c>
      <c r="D20" s="10">
        <f>D19*(1+$P$4)</f>
        <v>2402.4</v>
      </c>
      <c r="E20" s="17">
        <f>$P$4</f>
        <v>0.1</v>
      </c>
      <c r="F20" s="10">
        <f>F19*(1+$P$5)</f>
        <v>1215.5</v>
      </c>
      <c r="G20" s="17">
        <f>$P$5</f>
        <v>0.1</v>
      </c>
      <c r="H20" s="14">
        <f>H19*(1+$P$6)</f>
        <v>1533.6000000000001</v>
      </c>
      <c r="I20" s="10">
        <f>I19*(1+$P$7)</f>
        <v>4247.9000000000005</v>
      </c>
      <c r="J20" s="12">
        <f>J19*(1+$P$8)</f>
        <v>0.25750000000000001</v>
      </c>
      <c r="K20" s="16">
        <f>K19*(1+$P$9)</f>
        <v>135.45000000000002</v>
      </c>
      <c r="L20" s="15">
        <f>L19*(1+$P$10)</f>
        <v>18.480000000000004</v>
      </c>
      <c r="M20" s="22">
        <f>M19*(1+$P$11)</f>
        <v>75040</v>
      </c>
      <c r="O20" s="9"/>
      <c r="P20" s="9"/>
      <c r="Q20" s="8"/>
    </row>
    <row r="21" spans="1:17" x14ac:dyDescent="0.3">
      <c r="A21" s="20" t="s">
        <v>20</v>
      </c>
      <c r="B21" s="6" t="s">
        <v>30</v>
      </c>
      <c r="C21" s="10">
        <f t="shared" ref="C21:C24" si="11">C20*(1+$P$3)</f>
        <v>24686.592000000004</v>
      </c>
      <c r="D21" s="10">
        <f t="shared" ref="D21:D24" si="12">D20*(1+$P$4)</f>
        <v>2642.6400000000003</v>
      </c>
      <c r="E21" s="17">
        <f t="shared" ref="E21:E24" si="13">$P$4</f>
        <v>0.1</v>
      </c>
      <c r="F21" s="10">
        <f t="shared" ref="F21:F24" si="14">F20*(1+$P$5)</f>
        <v>1337.0500000000002</v>
      </c>
      <c r="G21" s="17">
        <f t="shared" ref="G21:G24" si="15">$P$5</f>
        <v>0.1</v>
      </c>
      <c r="H21" s="14">
        <f t="shared" ref="H21:H24" si="16">H20+(1+$P$6)</f>
        <v>1534.68</v>
      </c>
      <c r="I21" s="10">
        <f t="shared" ref="I21:I24" si="17">I20*(1+$P$7)</f>
        <v>4545.2530000000006</v>
      </c>
      <c r="J21" s="12">
        <f t="shared" ref="J21:J24" si="18">J20*(1+$P$8)</f>
        <v>0.26522499999999999</v>
      </c>
      <c r="K21" s="16">
        <f t="shared" ref="K21:K24" si="19">K20*(1+$P$9)</f>
        <v>142.22250000000003</v>
      </c>
      <c r="L21" s="15">
        <f t="shared" ref="L21:L24" si="20">L20*(1+$P$10)</f>
        <v>20.328000000000007</v>
      </c>
      <c r="M21" s="22">
        <f t="shared" ref="M21:M24" si="21">M20*(1+$P$11)</f>
        <v>84044.800000000003</v>
      </c>
      <c r="O21" s="9"/>
      <c r="P21" s="9"/>
      <c r="Q21" s="8"/>
    </row>
    <row r="22" spans="1:17" x14ac:dyDescent="0.3">
      <c r="A22" s="20" t="s">
        <v>20</v>
      </c>
      <c r="B22" s="6" t="s">
        <v>31</v>
      </c>
      <c r="C22" s="10">
        <f t="shared" si="11"/>
        <v>27648.983040000006</v>
      </c>
      <c r="D22" s="10">
        <f t="shared" si="12"/>
        <v>2906.9040000000005</v>
      </c>
      <c r="E22" s="17">
        <f t="shared" si="13"/>
        <v>0.1</v>
      </c>
      <c r="F22" s="10">
        <f t="shared" si="14"/>
        <v>1470.7550000000003</v>
      </c>
      <c r="G22" s="17">
        <f t="shared" si="15"/>
        <v>0.1</v>
      </c>
      <c r="H22" s="14">
        <f t="shared" si="16"/>
        <v>1535.76</v>
      </c>
      <c r="I22" s="10">
        <f t="shared" si="17"/>
        <v>4863.4207100000012</v>
      </c>
      <c r="J22" s="12">
        <f t="shared" si="18"/>
        <v>0.27318175</v>
      </c>
      <c r="K22" s="16">
        <f t="shared" si="19"/>
        <v>149.33362500000004</v>
      </c>
      <c r="L22" s="15">
        <f t="shared" si="20"/>
        <v>22.360800000000008</v>
      </c>
      <c r="M22" s="22">
        <f t="shared" si="21"/>
        <v>94130.176000000007</v>
      </c>
      <c r="O22" s="9"/>
      <c r="P22" s="9"/>
      <c r="Q22" s="8"/>
    </row>
    <row r="23" spans="1:17" x14ac:dyDescent="0.3">
      <c r="A23" s="20" t="s">
        <v>20</v>
      </c>
      <c r="B23" s="6" t="s">
        <v>32</v>
      </c>
      <c r="C23" s="10">
        <f t="shared" si="11"/>
        <v>30966.861004800012</v>
      </c>
      <c r="D23" s="10">
        <f t="shared" si="12"/>
        <v>3197.5944000000009</v>
      </c>
      <c r="E23" s="17">
        <f t="shared" si="13"/>
        <v>0.1</v>
      </c>
      <c r="F23" s="10">
        <f t="shared" si="14"/>
        <v>1617.8305000000005</v>
      </c>
      <c r="G23" s="17">
        <f t="shared" si="15"/>
        <v>0.1</v>
      </c>
      <c r="H23" s="14">
        <f t="shared" si="16"/>
        <v>1536.84</v>
      </c>
      <c r="I23" s="10">
        <f t="shared" si="17"/>
        <v>5203.8601597000015</v>
      </c>
      <c r="J23" s="12">
        <f t="shared" si="18"/>
        <v>0.28137720250000003</v>
      </c>
      <c r="K23" s="16">
        <f t="shared" si="19"/>
        <v>156.80030625000006</v>
      </c>
      <c r="L23" s="15">
        <f t="shared" si="20"/>
        <v>24.596880000000009</v>
      </c>
      <c r="M23" s="22">
        <f t="shared" si="21"/>
        <v>105425.79712000002</v>
      </c>
      <c r="O23" s="9"/>
      <c r="P23" s="9"/>
      <c r="Q23" s="8"/>
    </row>
    <row r="24" spans="1:17" x14ac:dyDescent="0.3">
      <c r="A24" s="20" t="s">
        <v>20</v>
      </c>
      <c r="B24" s="6" t="s">
        <v>33</v>
      </c>
      <c r="C24" s="10">
        <f t="shared" si="11"/>
        <v>34682.884325376013</v>
      </c>
      <c r="D24" s="10">
        <f t="shared" si="12"/>
        <v>3517.3538400000011</v>
      </c>
      <c r="E24" s="17">
        <f t="shared" si="13"/>
        <v>0.1</v>
      </c>
      <c r="F24" s="10">
        <f t="shared" si="14"/>
        <v>1779.6135500000007</v>
      </c>
      <c r="G24" s="17">
        <f t="shared" si="15"/>
        <v>0.1</v>
      </c>
      <c r="H24" s="14">
        <f t="shared" si="16"/>
        <v>1537.9199999999998</v>
      </c>
      <c r="I24" s="10">
        <f t="shared" si="17"/>
        <v>5568.1303708790019</v>
      </c>
      <c r="J24" s="12">
        <f t="shared" si="18"/>
        <v>0.28981851857500002</v>
      </c>
      <c r="K24" s="16">
        <f t="shared" si="19"/>
        <v>164.64032156250008</v>
      </c>
      <c r="L24" s="15">
        <f t="shared" si="20"/>
        <v>27.056568000000013</v>
      </c>
      <c r="M24" s="22">
        <f t="shared" si="21"/>
        <v>118076.89277440002</v>
      </c>
      <c r="O24" s="9"/>
      <c r="P24" s="9"/>
      <c r="Q24" s="8"/>
    </row>
    <row r="25" spans="1:17" x14ac:dyDescent="0.3">
      <c r="A25" s="20" t="s">
        <v>21</v>
      </c>
      <c r="B25" s="2" t="s">
        <v>14</v>
      </c>
      <c r="C25" s="3">
        <v>3050</v>
      </c>
      <c r="D25" s="3">
        <v>580</v>
      </c>
      <c r="E25" s="4">
        <v>19.02</v>
      </c>
      <c r="F25" s="3">
        <v>245</v>
      </c>
      <c r="G25" s="4">
        <v>8.0299999999999994</v>
      </c>
      <c r="H25" s="13">
        <v>330</v>
      </c>
      <c r="I25" s="3">
        <v>1280</v>
      </c>
      <c r="J25" s="4">
        <v>0.48</v>
      </c>
      <c r="K25" s="2">
        <v>118</v>
      </c>
      <c r="L25" s="2">
        <v>8.6999999999999993</v>
      </c>
      <c r="M25" s="21">
        <v>9100</v>
      </c>
    </row>
    <row r="26" spans="1:17" x14ac:dyDescent="0.3">
      <c r="A26" s="20" t="s">
        <v>21</v>
      </c>
      <c r="B26" s="2" t="s">
        <v>15</v>
      </c>
      <c r="C26" s="3">
        <v>3480</v>
      </c>
      <c r="D26" s="3">
        <v>678</v>
      </c>
      <c r="E26" s="4">
        <v>19.48</v>
      </c>
      <c r="F26" s="3">
        <v>292</v>
      </c>
      <c r="G26" s="4">
        <v>8.39</v>
      </c>
      <c r="H26" s="13">
        <v>386</v>
      </c>
      <c r="I26" s="3">
        <v>1350</v>
      </c>
      <c r="J26" s="4">
        <v>0.44</v>
      </c>
      <c r="K26" s="2">
        <v>126</v>
      </c>
      <c r="L26" s="2">
        <v>10.3</v>
      </c>
      <c r="M26" s="21">
        <v>10200</v>
      </c>
    </row>
    <row r="27" spans="1:17" x14ac:dyDescent="0.3">
      <c r="A27" s="20" t="s">
        <v>21</v>
      </c>
      <c r="B27" s="2" t="s">
        <v>16</v>
      </c>
      <c r="C27" s="3">
        <v>4010</v>
      </c>
      <c r="D27" s="3">
        <v>798</v>
      </c>
      <c r="E27" s="4">
        <v>19.899999999999999</v>
      </c>
      <c r="F27" s="3">
        <v>346</v>
      </c>
      <c r="G27" s="4">
        <v>8.6300000000000008</v>
      </c>
      <c r="H27" s="13">
        <v>452</v>
      </c>
      <c r="I27" s="3">
        <v>1440</v>
      </c>
      <c r="J27" s="4">
        <v>0.41</v>
      </c>
      <c r="K27" s="2">
        <v>136</v>
      </c>
      <c r="L27" s="2">
        <v>12.1</v>
      </c>
      <c r="M27" s="21">
        <v>11600</v>
      </c>
    </row>
    <row r="28" spans="1:17" x14ac:dyDescent="0.3">
      <c r="A28" s="20" t="s">
        <v>21</v>
      </c>
      <c r="B28" s="2" t="s">
        <v>17</v>
      </c>
      <c r="C28" s="3">
        <v>4620</v>
      </c>
      <c r="D28" s="3">
        <v>942</v>
      </c>
      <c r="E28" s="4">
        <v>20.39</v>
      </c>
      <c r="F28" s="3">
        <v>416</v>
      </c>
      <c r="G28" s="4">
        <v>9</v>
      </c>
      <c r="H28" s="13">
        <v>535</v>
      </c>
      <c r="I28" s="3">
        <v>1545</v>
      </c>
      <c r="J28" s="4">
        <v>0.37</v>
      </c>
      <c r="K28" s="2">
        <v>148</v>
      </c>
      <c r="L28" s="2">
        <v>14.5</v>
      </c>
      <c r="M28" s="21">
        <v>13200</v>
      </c>
    </row>
    <row r="29" spans="1:17" x14ac:dyDescent="0.3">
      <c r="A29" s="20" t="s">
        <v>21</v>
      </c>
      <c r="B29" s="2" t="s">
        <v>18</v>
      </c>
      <c r="C29" s="3">
        <v>5320</v>
      </c>
      <c r="D29" s="3">
        <v>1117</v>
      </c>
      <c r="E29" s="4">
        <v>21</v>
      </c>
      <c r="F29" s="3">
        <v>505</v>
      </c>
      <c r="G29" s="4">
        <v>9.49</v>
      </c>
      <c r="H29" s="13">
        <v>635</v>
      </c>
      <c r="I29" s="3">
        <v>1660</v>
      </c>
      <c r="J29" s="4">
        <v>0.34</v>
      </c>
      <c r="K29" s="2">
        <v>161</v>
      </c>
      <c r="L29" s="2">
        <v>17.600000000000001</v>
      </c>
      <c r="M29" s="21">
        <v>14900</v>
      </c>
    </row>
    <row r="30" spans="1:17" x14ac:dyDescent="0.3">
      <c r="A30" s="20" t="s">
        <v>21</v>
      </c>
      <c r="B30" s="2" t="s">
        <v>19</v>
      </c>
      <c r="C30" s="3">
        <v>6120</v>
      </c>
      <c r="D30" s="3">
        <v>1305</v>
      </c>
      <c r="E30" s="4">
        <v>21.32</v>
      </c>
      <c r="F30" s="3">
        <v>602</v>
      </c>
      <c r="G30" s="4">
        <v>9.84</v>
      </c>
      <c r="H30" s="13">
        <v>748</v>
      </c>
      <c r="I30" s="3">
        <v>1785</v>
      </c>
      <c r="J30" s="4">
        <v>0.31</v>
      </c>
      <c r="K30" s="2">
        <v>176</v>
      </c>
      <c r="L30" s="2">
        <v>20.9</v>
      </c>
      <c r="M30" s="21">
        <v>16800</v>
      </c>
    </row>
    <row r="31" spans="1:17" x14ac:dyDescent="0.3">
      <c r="A31" s="20" t="s">
        <v>21</v>
      </c>
      <c r="B31" s="6" t="s">
        <v>29</v>
      </c>
      <c r="C31" s="10">
        <f>C30*(1+$P$3)</f>
        <v>6854.4000000000005</v>
      </c>
      <c r="D31" s="10">
        <f>D30*(1+E31)</f>
        <v>1435.5000000000002</v>
      </c>
      <c r="E31" s="17">
        <f>$P$4</f>
        <v>0.1</v>
      </c>
      <c r="F31" s="10">
        <f>F30*(1+G31)</f>
        <v>662.2</v>
      </c>
      <c r="G31" s="17">
        <f>$P$4</f>
        <v>0.1</v>
      </c>
      <c r="H31" s="14">
        <f>H30*(1+$P$6)</f>
        <v>807.84</v>
      </c>
      <c r="I31" s="10">
        <f>I30*(1+$P$7)</f>
        <v>1909.95</v>
      </c>
      <c r="J31" s="12">
        <f>J30*(1+$P$8)</f>
        <v>0.31930000000000003</v>
      </c>
      <c r="K31" s="16">
        <f>K30*(1+$P$9)</f>
        <v>184.8</v>
      </c>
      <c r="L31" s="15">
        <f>L30*(1+$P$10)</f>
        <v>22.990000000000002</v>
      </c>
      <c r="M31" s="22">
        <f>M30*(1+$P$11)</f>
        <v>18816</v>
      </c>
    </row>
    <row r="32" spans="1:17" x14ac:dyDescent="0.3">
      <c r="A32" s="20" t="s">
        <v>21</v>
      </c>
      <c r="B32" s="6" t="s">
        <v>30</v>
      </c>
      <c r="C32" s="10">
        <f t="shared" ref="C32:C35" si="22">C31*(1+$P$3)</f>
        <v>7676.9280000000017</v>
      </c>
      <c r="D32" s="10">
        <f t="shared" ref="D32:D35" si="23">D31*(1+E32)</f>
        <v>1579.0500000000004</v>
      </c>
      <c r="E32" s="17">
        <f t="shared" ref="E32:E35" si="24">$P$4</f>
        <v>0.1</v>
      </c>
      <c r="F32" s="10">
        <f t="shared" ref="F32:F35" si="25">F31*(1+G32)</f>
        <v>728.42000000000007</v>
      </c>
      <c r="G32" s="17">
        <f t="shared" ref="G32:G35" si="26">$P$4</f>
        <v>0.1</v>
      </c>
      <c r="H32" s="14">
        <f t="shared" ref="H32:H35" si="27">H31*(1+$P$6)</f>
        <v>872.46720000000005</v>
      </c>
      <c r="I32" s="10">
        <f t="shared" ref="I32:I35" si="28">I31*(1+$P$7)</f>
        <v>2043.6465000000001</v>
      </c>
      <c r="J32" s="12">
        <f t="shared" ref="J32:J35" si="29">J31*(1+$P$8)</f>
        <v>0.32887900000000003</v>
      </c>
      <c r="K32" s="16">
        <f t="shared" ref="K32:K35" si="30">K31*(1+$P$9)</f>
        <v>194.04000000000002</v>
      </c>
      <c r="L32" s="15">
        <f t="shared" ref="L32:L35" si="31">L31*(1+$P$10)</f>
        <v>25.289000000000005</v>
      </c>
      <c r="M32" s="22">
        <f t="shared" ref="M32:M35" si="32">M31*(1+$P$11)</f>
        <v>21073.920000000002</v>
      </c>
    </row>
    <row r="33" spans="1:13" x14ac:dyDescent="0.3">
      <c r="A33" s="20" t="s">
        <v>21</v>
      </c>
      <c r="B33" s="6" t="s">
        <v>31</v>
      </c>
      <c r="C33" s="10">
        <f t="shared" si="22"/>
        <v>8598.1593600000033</v>
      </c>
      <c r="D33" s="10">
        <f t="shared" si="23"/>
        <v>1736.9550000000006</v>
      </c>
      <c r="E33" s="17">
        <f t="shared" si="24"/>
        <v>0.1</v>
      </c>
      <c r="F33" s="10">
        <f t="shared" si="25"/>
        <v>801.26200000000017</v>
      </c>
      <c r="G33" s="17">
        <f t="shared" si="26"/>
        <v>0.1</v>
      </c>
      <c r="H33" s="14">
        <f t="shared" si="27"/>
        <v>942.26457600000015</v>
      </c>
      <c r="I33" s="10">
        <f t="shared" si="28"/>
        <v>2186.701755</v>
      </c>
      <c r="J33" s="12">
        <f t="shared" si="29"/>
        <v>0.33874537000000005</v>
      </c>
      <c r="K33" s="16">
        <f t="shared" si="30"/>
        <v>203.74200000000002</v>
      </c>
      <c r="L33" s="15">
        <f t="shared" si="31"/>
        <v>27.817900000000009</v>
      </c>
      <c r="M33" s="22">
        <f t="shared" si="32"/>
        <v>23602.790400000005</v>
      </c>
    </row>
    <row r="34" spans="1:13" x14ac:dyDescent="0.3">
      <c r="A34" s="20" t="s">
        <v>21</v>
      </c>
      <c r="B34" s="6" t="s">
        <v>32</v>
      </c>
      <c r="C34" s="10">
        <f t="shared" si="22"/>
        <v>9629.9384832000051</v>
      </c>
      <c r="D34" s="10">
        <f t="shared" si="23"/>
        <v>1910.6505000000009</v>
      </c>
      <c r="E34" s="17">
        <f t="shared" si="24"/>
        <v>0.1</v>
      </c>
      <c r="F34" s="10">
        <f t="shared" si="25"/>
        <v>881.38820000000021</v>
      </c>
      <c r="G34" s="17">
        <f t="shared" si="26"/>
        <v>0.1</v>
      </c>
      <c r="H34" s="14">
        <f t="shared" si="27"/>
        <v>1017.6457420800002</v>
      </c>
      <c r="I34" s="10">
        <f t="shared" si="28"/>
        <v>2339.77087785</v>
      </c>
      <c r="J34" s="12">
        <f t="shared" si="29"/>
        <v>0.34890773110000006</v>
      </c>
      <c r="K34" s="16">
        <f t="shared" si="30"/>
        <v>213.92910000000003</v>
      </c>
      <c r="L34" s="15">
        <f t="shared" si="31"/>
        <v>30.599690000000013</v>
      </c>
      <c r="M34" s="22">
        <f t="shared" si="32"/>
        <v>26435.125248000008</v>
      </c>
    </row>
    <row r="35" spans="1:13" x14ac:dyDescent="0.3">
      <c r="A35" s="20" t="s">
        <v>21</v>
      </c>
      <c r="B35" s="6" t="s">
        <v>33</v>
      </c>
      <c r="C35" s="10">
        <f t="shared" si="22"/>
        <v>10785.531101184006</v>
      </c>
      <c r="D35" s="10">
        <f t="shared" si="23"/>
        <v>2101.7155500000013</v>
      </c>
      <c r="E35" s="17">
        <f t="shared" si="24"/>
        <v>0.1</v>
      </c>
      <c r="F35" s="10">
        <f t="shared" si="25"/>
        <v>969.52702000000033</v>
      </c>
      <c r="G35" s="17">
        <f t="shared" si="26"/>
        <v>0.1</v>
      </c>
      <c r="H35" s="14">
        <f t="shared" si="27"/>
        <v>1099.0574014464003</v>
      </c>
      <c r="I35" s="10">
        <f t="shared" si="28"/>
        <v>2503.5548392995001</v>
      </c>
      <c r="J35" s="12">
        <f t="shared" si="29"/>
        <v>0.35937496303300009</v>
      </c>
      <c r="K35" s="16">
        <f t="shared" si="30"/>
        <v>224.62555500000005</v>
      </c>
      <c r="L35" s="15">
        <f t="shared" si="31"/>
        <v>33.659659000000019</v>
      </c>
      <c r="M35" s="22">
        <f t="shared" si="32"/>
        <v>29607.340277760009</v>
      </c>
    </row>
    <row r="36" spans="1:13" x14ac:dyDescent="0.3">
      <c r="A36" s="20" t="s">
        <v>22</v>
      </c>
      <c r="B36" s="2" t="s">
        <v>14</v>
      </c>
      <c r="C36" s="3">
        <v>6450</v>
      </c>
      <c r="D36" s="3">
        <v>2193</v>
      </c>
      <c r="E36" s="4">
        <v>34</v>
      </c>
      <c r="F36" s="3">
        <v>525</v>
      </c>
      <c r="G36" s="4">
        <v>8.14</v>
      </c>
      <c r="H36" s="13">
        <v>840</v>
      </c>
      <c r="I36" s="3">
        <v>11250</v>
      </c>
      <c r="J36" s="4">
        <v>1.65</v>
      </c>
      <c r="K36" s="2">
        <v>76</v>
      </c>
      <c r="L36" s="2">
        <v>4.0999999999999996</v>
      </c>
      <c r="M36" s="21">
        <v>24700</v>
      </c>
    </row>
    <row r="37" spans="1:13" x14ac:dyDescent="0.3">
      <c r="A37" s="20" t="s">
        <v>22</v>
      </c>
      <c r="B37" s="2" t="s">
        <v>15</v>
      </c>
      <c r="C37" s="3">
        <v>7120</v>
      </c>
      <c r="D37" s="3">
        <v>2463</v>
      </c>
      <c r="E37" s="4">
        <v>34.6</v>
      </c>
      <c r="F37" s="3">
        <v>618</v>
      </c>
      <c r="G37" s="4">
        <v>8.68</v>
      </c>
      <c r="H37" s="13">
        <v>960</v>
      </c>
      <c r="I37" s="3">
        <v>11680</v>
      </c>
      <c r="J37" s="4">
        <v>1.56</v>
      </c>
      <c r="K37" s="2">
        <v>82</v>
      </c>
      <c r="L37" s="2">
        <v>4.9000000000000004</v>
      </c>
      <c r="M37" s="21">
        <v>26500</v>
      </c>
    </row>
    <row r="38" spans="1:13" x14ac:dyDescent="0.3">
      <c r="A38" s="20" t="s">
        <v>22</v>
      </c>
      <c r="B38" s="2" t="s">
        <v>16</v>
      </c>
      <c r="C38" s="3">
        <v>7890</v>
      </c>
      <c r="D38" s="3">
        <v>2762</v>
      </c>
      <c r="E38" s="4">
        <v>35</v>
      </c>
      <c r="F38" s="3">
        <v>735</v>
      </c>
      <c r="G38" s="4">
        <v>9.32</v>
      </c>
      <c r="H38" s="13">
        <v>1115</v>
      </c>
      <c r="I38" s="3">
        <v>12150</v>
      </c>
      <c r="J38" s="4">
        <v>1.47</v>
      </c>
      <c r="K38" s="2">
        <v>89</v>
      </c>
      <c r="L38" s="2">
        <v>5.9</v>
      </c>
      <c r="M38" s="21">
        <v>28800</v>
      </c>
    </row>
    <row r="39" spans="1:13" x14ac:dyDescent="0.3">
      <c r="A39" s="20" t="s">
        <v>22</v>
      </c>
      <c r="B39" s="2" t="s">
        <v>17</v>
      </c>
      <c r="C39" s="3">
        <v>8740</v>
      </c>
      <c r="D39" s="3">
        <v>3103</v>
      </c>
      <c r="E39" s="4">
        <v>35.5</v>
      </c>
      <c r="F39" s="3">
        <v>872</v>
      </c>
      <c r="G39" s="4">
        <v>9.98</v>
      </c>
      <c r="H39" s="13">
        <v>1295</v>
      </c>
      <c r="I39" s="3">
        <v>12690</v>
      </c>
      <c r="J39" s="4">
        <v>1.39</v>
      </c>
      <c r="K39" s="2">
        <v>98</v>
      </c>
      <c r="L39" s="2">
        <v>7</v>
      </c>
      <c r="M39" s="21">
        <v>31400</v>
      </c>
    </row>
    <row r="40" spans="1:13" x14ac:dyDescent="0.3">
      <c r="A40" s="20" t="s">
        <v>22</v>
      </c>
      <c r="B40" s="2" t="s">
        <v>18</v>
      </c>
      <c r="C40" s="3">
        <v>9690</v>
      </c>
      <c r="D40" s="3">
        <v>3498</v>
      </c>
      <c r="E40" s="4">
        <v>36.1</v>
      </c>
      <c r="F40" s="3">
        <v>1035</v>
      </c>
      <c r="G40" s="4">
        <v>10.68</v>
      </c>
      <c r="H40" s="13">
        <v>1505</v>
      </c>
      <c r="I40" s="3">
        <v>13280</v>
      </c>
      <c r="J40" s="4">
        <v>1.3</v>
      </c>
      <c r="K40" s="2">
        <v>108</v>
      </c>
      <c r="L40" s="2">
        <v>8.3000000000000007</v>
      </c>
      <c r="M40" s="21">
        <v>34300</v>
      </c>
    </row>
    <row r="41" spans="1:13" x14ac:dyDescent="0.3">
      <c r="A41" s="20" t="s">
        <v>22</v>
      </c>
      <c r="B41" s="2" t="s">
        <v>19</v>
      </c>
      <c r="C41" s="3">
        <v>10750</v>
      </c>
      <c r="D41" s="3">
        <v>3913</v>
      </c>
      <c r="E41" s="4">
        <v>36.4</v>
      </c>
      <c r="F41" s="3">
        <v>1215</v>
      </c>
      <c r="G41" s="4">
        <v>11.3</v>
      </c>
      <c r="H41" s="13">
        <v>1730</v>
      </c>
      <c r="I41" s="3">
        <v>13920</v>
      </c>
      <c r="J41" s="4">
        <v>1.22</v>
      </c>
      <c r="K41" s="2">
        <v>119</v>
      </c>
      <c r="L41" s="2">
        <v>9.8000000000000007</v>
      </c>
      <c r="M41" s="21">
        <v>37500</v>
      </c>
    </row>
    <row r="42" spans="1:13" x14ac:dyDescent="0.3">
      <c r="A42" s="20" t="s">
        <v>22</v>
      </c>
      <c r="B42" s="6" t="s">
        <v>29</v>
      </c>
      <c r="C42" s="10">
        <f>C41*(1+$P$3)</f>
        <v>12040.000000000002</v>
      </c>
      <c r="D42" s="10">
        <f>D41*(1+$P$4)</f>
        <v>4304.3</v>
      </c>
      <c r="E42" s="17">
        <f>$P$4</f>
        <v>0.1</v>
      </c>
      <c r="F42" s="10">
        <f>F41*(1+$P$5)</f>
        <v>1336.5</v>
      </c>
      <c r="G42" s="17">
        <f>$P$4</f>
        <v>0.1</v>
      </c>
      <c r="H42" s="14">
        <f>H41*(1+$P$6)</f>
        <v>1868.4</v>
      </c>
      <c r="I42" s="10">
        <f>I41*(1+$P$7)</f>
        <v>14894.400000000001</v>
      </c>
      <c r="J42" s="12">
        <f>J41*(1+$P$8)</f>
        <v>1.2565999999999999</v>
      </c>
      <c r="K42" s="16">
        <f>K41*(1+$P$9)</f>
        <v>124.95</v>
      </c>
      <c r="L42" s="15">
        <f>L41*(1+$P$10)</f>
        <v>10.780000000000001</v>
      </c>
      <c r="M42" s="22">
        <f>M41*(1+$P$11)</f>
        <v>42000.000000000007</v>
      </c>
    </row>
    <row r="43" spans="1:13" x14ac:dyDescent="0.3">
      <c r="A43" s="20" t="s">
        <v>22</v>
      </c>
      <c r="B43" s="6" t="s">
        <v>30</v>
      </c>
      <c r="C43" s="10">
        <f t="shared" ref="C43:C46" si="33">C42*(1+$P$3)</f>
        <v>13484.800000000003</v>
      </c>
      <c r="D43" s="10">
        <f t="shared" ref="D43:D46" si="34">D42*(1+$P$4)</f>
        <v>4734.7300000000005</v>
      </c>
      <c r="E43" s="17">
        <f t="shared" ref="E43:E46" si="35">$P$4</f>
        <v>0.1</v>
      </c>
      <c r="F43" s="10">
        <f t="shared" ref="F43:F46" si="36">F42*(1+$P$5)</f>
        <v>1470.15</v>
      </c>
      <c r="G43" s="17">
        <f t="shared" ref="G43:G46" si="37">$P$4</f>
        <v>0.1</v>
      </c>
      <c r="H43" s="14">
        <f t="shared" ref="H43:H46" si="38">H42*(1+$P$6)</f>
        <v>2017.8720000000003</v>
      </c>
      <c r="I43" s="10">
        <f t="shared" ref="I43:I46" si="39">I42*(1+$P$7)</f>
        <v>15937.008000000002</v>
      </c>
      <c r="J43" s="12">
        <f t="shared" ref="J43:J46" si="40">J42*(1+$P$8)</f>
        <v>1.2942979999999999</v>
      </c>
      <c r="K43" s="16">
        <f t="shared" ref="K43:K46" si="41">K42*(1+$P$9)</f>
        <v>131.19750000000002</v>
      </c>
      <c r="L43" s="15">
        <f t="shared" ref="L43:L46" si="42">L42*(1+$P$10)</f>
        <v>11.858000000000002</v>
      </c>
      <c r="M43" s="22">
        <f t="shared" ref="M43:M46" si="43">M42*(1+$P$11)</f>
        <v>47040.000000000015</v>
      </c>
    </row>
    <row r="44" spans="1:13" x14ac:dyDescent="0.3">
      <c r="A44" s="20" t="s">
        <v>22</v>
      </c>
      <c r="B44" s="6" t="s">
        <v>31</v>
      </c>
      <c r="C44" s="10">
        <f t="shared" si="33"/>
        <v>15102.976000000004</v>
      </c>
      <c r="D44" s="10">
        <f t="shared" si="34"/>
        <v>5208.2030000000013</v>
      </c>
      <c r="E44" s="17">
        <f t="shared" si="35"/>
        <v>0.1</v>
      </c>
      <c r="F44" s="10">
        <f t="shared" si="36"/>
        <v>1617.1650000000002</v>
      </c>
      <c r="G44" s="17">
        <f t="shared" si="37"/>
        <v>0.1</v>
      </c>
      <c r="H44" s="14">
        <f t="shared" si="38"/>
        <v>2179.3017600000003</v>
      </c>
      <c r="I44" s="10">
        <f t="shared" si="39"/>
        <v>17052.598560000002</v>
      </c>
      <c r="J44" s="12">
        <f t="shared" si="40"/>
        <v>1.3331269399999999</v>
      </c>
      <c r="K44" s="16">
        <f t="shared" si="41"/>
        <v>137.75737500000002</v>
      </c>
      <c r="L44" s="15">
        <f t="shared" si="42"/>
        <v>13.043800000000003</v>
      </c>
      <c r="M44" s="22">
        <f t="shared" si="43"/>
        <v>52684.800000000025</v>
      </c>
    </row>
    <row r="45" spans="1:13" x14ac:dyDescent="0.3">
      <c r="A45" s="20" t="s">
        <v>22</v>
      </c>
      <c r="B45" s="6" t="s">
        <v>32</v>
      </c>
      <c r="C45" s="10">
        <f t="shared" si="33"/>
        <v>16915.333120000007</v>
      </c>
      <c r="D45" s="10">
        <f t="shared" si="34"/>
        <v>5729.0233000000017</v>
      </c>
      <c r="E45" s="17">
        <f t="shared" si="35"/>
        <v>0.1</v>
      </c>
      <c r="F45" s="10">
        <f t="shared" si="36"/>
        <v>1778.8815000000004</v>
      </c>
      <c r="G45" s="17">
        <f t="shared" si="37"/>
        <v>0.1</v>
      </c>
      <c r="H45" s="14">
        <f t="shared" si="38"/>
        <v>2353.6459008000006</v>
      </c>
      <c r="I45" s="10">
        <f t="shared" si="39"/>
        <v>18246.280459200003</v>
      </c>
      <c r="J45" s="12">
        <f t="shared" si="40"/>
        <v>1.3731207481999999</v>
      </c>
      <c r="K45" s="16">
        <f t="shared" si="41"/>
        <v>144.64524375000002</v>
      </c>
      <c r="L45" s="15">
        <f t="shared" si="42"/>
        <v>14.348180000000005</v>
      </c>
      <c r="M45" s="22">
        <f t="shared" si="43"/>
        <v>59006.976000000031</v>
      </c>
    </row>
    <row r="46" spans="1:13" x14ac:dyDescent="0.3">
      <c r="A46" s="20" t="s">
        <v>22</v>
      </c>
      <c r="B46" s="6" t="s">
        <v>33</v>
      </c>
      <c r="C46" s="10">
        <f t="shared" si="33"/>
        <v>18945.173094400008</v>
      </c>
      <c r="D46" s="10">
        <f t="shared" si="34"/>
        <v>6301.9256300000025</v>
      </c>
      <c r="E46" s="17">
        <f t="shared" si="35"/>
        <v>0.1</v>
      </c>
      <c r="F46" s="10">
        <f t="shared" si="36"/>
        <v>1956.7696500000006</v>
      </c>
      <c r="G46" s="17">
        <f t="shared" si="37"/>
        <v>0.1</v>
      </c>
      <c r="H46" s="14">
        <f t="shared" si="38"/>
        <v>2541.9375728640007</v>
      </c>
      <c r="I46" s="10">
        <f t="shared" si="39"/>
        <v>19523.520091344006</v>
      </c>
      <c r="J46" s="12">
        <f t="shared" si="40"/>
        <v>1.414314370646</v>
      </c>
      <c r="K46" s="16">
        <f t="shared" si="41"/>
        <v>151.87750593750002</v>
      </c>
      <c r="L46" s="15">
        <f t="shared" si="42"/>
        <v>15.782998000000006</v>
      </c>
      <c r="M46" s="22">
        <f t="shared" si="43"/>
        <v>66087.813120000035</v>
      </c>
    </row>
    <row r="47" spans="1:13" x14ac:dyDescent="0.3">
      <c r="A47" s="19" t="s">
        <v>23</v>
      </c>
      <c r="B47" s="2" t="s">
        <v>14</v>
      </c>
      <c r="C47" s="3">
        <v>4120</v>
      </c>
      <c r="D47" s="3">
        <v>700</v>
      </c>
      <c r="E47" s="4">
        <v>16.989999999999998</v>
      </c>
      <c r="F47" s="3">
        <v>262</v>
      </c>
      <c r="G47" s="4">
        <v>6.36</v>
      </c>
      <c r="H47" s="13">
        <v>355</v>
      </c>
      <c r="I47" s="3">
        <v>1650</v>
      </c>
      <c r="J47" s="4">
        <v>0.57999999999999996</v>
      </c>
      <c r="K47" s="2">
        <v>104</v>
      </c>
      <c r="L47" s="2">
        <v>9.1999999999999993</v>
      </c>
      <c r="M47" s="21">
        <v>11800</v>
      </c>
    </row>
    <row r="48" spans="1:13" x14ac:dyDescent="0.3">
      <c r="A48" s="19" t="s">
        <v>23</v>
      </c>
      <c r="B48" s="2" t="s">
        <v>15</v>
      </c>
      <c r="C48" s="3">
        <v>4720</v>
      </c>
      <c r="D48" s="3">
        <v>826</v>
      </c>
      <c r="E48" s="4">
        <v>17.5</v>
      </c>
      <c r="F48" s="3">
        <v>322</v>
      </c>
      <c r="G48" s="4">
        <v>6.82</v>
      </c>
      <c r="H48" s="13">
        <v>432</v>
      </c>
      <c r="I48" s="3">
        <v>1760</v>
      </c>
      <c r="J48" s="4">
        <v>0.54</v>
      </c>
      <c r="K48" s="2">
        <v>113</v>
      </c>
      <c r="L48" s="2">
        <v>11.1</v>
      </c>
      <c r="M48" s="21">
        <v>13200</v>
      </c>
    </row>
    <row r="49" spans="1:13" x14ac:dyDescent="0.3">
      <c r="A49" s="19" t="s">
        <v>23</v>
      </c>
      <c r="B49" s="2" t="s">
        <v>16</v>
      </c>
      <c r="C49" s="3">
        <v>5430</v>
      </c>
      <c r="D49" s="3">
        <v>983</v>
      </c>
      <c r="E49" s="4">
        <v>18.100000000000001</v>
      </c>
      <c r="F49" s="3">
        <v>398</v>
      </c>
      <c r="G49" s="4">
        <v>7.33</v>
      </c>
      <c r="H49" s="13">
        <v>525</v>
      </c>
      <c r="I49" s="3">
        <v>1880</v>
      </c>
      <c r="J49" s="4">
        <v>0.49</v>
      </c>
      <c r="K49" s="2">
        <v>123</v>
      </c>
      <c r="L49" s="2">
        <v>13.5</v>
      </c>
      <c r="M49" s="21">
        <v>14900</v>
      </c>
    </row>
    <row r="50" spans="1:13" x14ac:dyDescent="0.3">
      <c r="A50" s="19" t="s">
        <v>23</v>
      </c>
      <c r="B50" s="2" t="s">
        <v>17</v>
      </c>
      <c r="C50" s="3">
        <v>6230</v>
      </c>
      <c r="D50" s="3">
        <v>1147</v>
      </c>
      <c r="E50" s="4">
        <v>18.41</v>
      </c>
      <c r="F50" s="3">
        <v>486</v>
      </c>
      <c r="G50" s="4">
        <v>7.8</v>
      </c>
      <c r="H50" s="13">
        <v>632</v>
      </c>
      <c r="I50" s="3">
        <v>2010</v>
      </c>
      <c r="J50" s="4">
        <v>0.45</v>
      </c>
      <c r="K50" s="2">
        <v>135</v>
      </c>
      <c r="L50" s="2">
        <v>16.2</v>
      </c>
      <c r="M50" s="21">
        <v>16800</v>
      </c>
    </row>
    <row r="51" spans="1:13" x14ac:dyDescent="0.3">
      <c r="A51" s="19" t="s">
        <v>23</v>
      </c>
      <c r="B51" s="2" t="s">
        <v>18</v>
      </c>
      <c r="C51" s="3">
        <v>7140</v>
      </c>
      <c r="D51" s="3">
        <v>1335</v>
      </c>
      <c r="E51" s="4">
        <v>18.7</v>
      </c>
      <c r="F51" s="3">
        <v>592</v>
      </c>
      <c r="G51" s="4">
        <v>8.2899999999999991</v>
      </c>
      <c r="H51" s="13">
        <v>755</v>
      </c>
      <c r="I51" s="3">
        <v>2150</v>
      </c>
      <c r="J51" s="4">
        <v>0.41</v>
      </c>
      <c r="K51" s="2">
        <v>148</v>
      </c>
      <c r="L51" s="2">
        <v>19.600000000000001</v>
      </c>
      <c r="M51" s="21">
        <v>19000</v>
      </c>
    </row>
    <row r="52" spans="1:13" x14ac:dyDescent="0.3">
      <c r="A52" s="19" t="s">
        <v>23</v>
      </c>
      <c r="B52" s="2" t="s">
        <v>19</v>
      </c>
      <c r="C52" s="3">
        <v>8160</v>
      </c>
      <c r="D52" s="3">
        <v>1542</v>
      </c>
      <c r="E52" s="4">
        <v>18.899999999999999</v>
      </c>
      <c r="F52" s="3">
        <v>715</v>
      </c>
      <c r="G52" s="4">
        <v>8.76</v>
      </c>
      <c r="H52" s="13">
        <v>896</v>
      </c>
      <c r="I52" s="3">
        <v>2310</v>
      </c>
      <c r="J52" s="4">
        <v>0.38</v>
      </c>
      <c r="K52" s="2">
        <v>163</v>
      </c>
      <c r="L52" s="2">
        <v>23.4</v>
      </c>
      <c r="M52" s="21">
        <v>21400</v>
      </c>
    </row>
    <row r="53" spans="1:13" x14ac:dyDescent="0.3">
      <c r="A53" s="19" t="s">
        <v>23</v>
      </c>
      <c r="B53" s="6" t="s">
        <v>29</v>
      </c>
      <c r="C53" s="10">
        <f>C52*(1+$P$3)</f>
        <v>9139.2000000000007</v>
      </c>
      <c r="D53" s="10">
        <f t="shared" ref="D53" si="44">D52*(1+$P$4)</f>
        <v>1696.2</v>
      </c>
      <c r="E53" s="17">
        <f t="shared" ref="E53:E57" si="45">$P$4</f>
        <v>0.1</v>
      </c>
      <c r="F53" s="10">
        <f t="shared" ref="F53" si="46">F52*(1+$P$5)</f>
        <v>786.50000000000011</v>
      </c>
      <c r="G53" s="17">
        <f t="shared" ref="G53:G57" si="47">$P$4</f>
        <v>0.1</v>
      </c>
      <c r="H53" s="14">
        <f t="shared" ref="H53" si="48">H52*(1+$P$6)</f>
        <v>967.68000000000006</v>
      </c>
      <c r="I53" s="10">
        <f t="shared" ref="I53" si="49">I52*(1+$P$7)</f>
        <v>2471.7000000000003</v>
      </c>
      <c r="J53" s="12">
        <f t="shared" ref="J53" si="50">J52*(1+$P$8)</f>
        <v>0.39140000000000003</v>
      </c>
      <c r="K53" s="16">
        <f t="shared" ref="K53" si="51">K52*(1+$P$9)</f>
        <v>171.15</v>
      </c>
      <c r="L53" s="15">
        <f t="shared" ref="L53" si="52">L52*(1+$P$10)</f>
        <v>25.740000000000002</v>
      </c>
      <c r="M53" s="22">
        <f t="shared" ref="M53" si="53">M52*(1+$P$11)</f>
        <v>23968.000000000004</v>
      </c>
    </row>
    <row r="54" spans="1:13" x14ac:dyDescent="0.3">
      <c r="A54" s="19" t="s">
        <v>23</v>
      </c>
      <c r="B54" s="6" t="s">
        <v>30</v>
      </c>
      <c r="C54" s="10">
        <f t="shared" ref="C54:C57" si="54">C53*(1+$P$3)</f>
        <v>10235.904000000002</v>
      </c>
      <c r="D54" s="10">
        <f t="shared" ref="D54:D57" si="55">D53*(1+$P$4)</f>
        <v>1865.8200000000002</v>
      </c>
      <c r="E54" s="17">
        <f t="shared" si="45"/>
        <v>0.1</v>
      </c>
      <c r="F54" s="10">
        <f t="shared" ref="F54:F57" si="56">F53*(1+$P$5)</f>
        <v>865.1500000000002</v>
      </c>
      <c r="G54" s="17">
        <f t="shared" si="47"/>
        <v>0.1</v>
      </c>
      <c r="H54" s="14">
        <f t="shared" ref="H54:H57" si="57">H53*(1+$P$6)</f>
        <v>1045.0944000000002</v>
      </c>
      <c r="I54" s="10">
        <f t="shared" ref="I54:I57" si="58">I53*(1+$P$7)</f>
        <v>2644.7190000000005</v>
      </c>
      <c r="J54" s="12">
        <f t="shared" ref="J54:J57" si="59">J53*(1+$P$8)</f>
        <v>0.40314200000000006</v>
      </c>
      <c r="K54" s="16">
        <f t="shared" ref="K54:K57" si="60">K53*(1+$P$9)</f>
        <v>179.70750000000001</v>
      </c>
      <c r="L54" s="15">
        <f t="shared" ref="L54:L57" si="61">L53*(1+$P$10)</f>
        <v>28.314000000000004</v>
      </c>
      <c r="M54" s="22">
        <f t="shared" ref="M54:M57" si="62">M53*(1+$P$11)</f>
        <v>26844.160000000007</v>
      </c>
    </row>
    <row r="55" spans="1:13" x14ac:dyDescent="0.3">
      <c r="A55" s="19" t="s">
        <v>23</v>
      </c>
      <c r="B55" s="6" t="s">
        <v>31</v>
      </c>
      <c r="C55" s="10">
        <f t="shared" si="54"/>
        <v>11464.212480000004</v>
      </c>
      <c r="D55" s="10">
        <f t="shared" si="55"/>
        <v>2052.4020000000005</v>
      </c>
      <c r="E55" s="17">
        <f t="shared" si="45"/>
        <v>0.1</v>
      </c>
      <c r="F55" s="10">
        <f t="shared" si="56"/>
        <v>951.6650000000003</v>
      </c>
      <c r="G55" s="17">
        <f t="shared" si="47"/>
        <v>0.1</v>
      </c>
      <c r="H55" s="14">
        <f t="shared" si="57"/>
        <v>1128.7019520000003</v>
      </c>
      <c r="I55" s="10">
        <f t="shared" si="58"/>
        <v>2829.8493300000009</v>
      </c>
      <c r="J55" s="12">
        <f t="shared" si="59"/>
        <v>0.41523626000000008</v>
      </c>
      <c r="K55" s="16">
        <f t="shared" si="60"/>
        <v>188.69287500000002</v>
      </c>
      <c r="L55" s="15">
        <f t="shared" si="61"/>
        <v>31.145400000000006</v>
      </c>
      <c r="M55" s="22">
        <f t="shared" si="62"/>
        <v>30065.459200000012</v>
      </c>
    </row>
    <row r="56" spans="1:13" x14ac:dyDescent="0.3">
      <c r="A56" s="19" t="s">
        <v>23</v>
      </c>
      <c r="B56" s="6" t="s">
        <v>32</v>
      </c>
      <c r="C56" s="10">
        <f t="shared" si="54"/>
        <v>12839.917977600006</v>
      </c>
      <c r="D56" s="10">
        <f t="shared" si="55"/>
        <v>2257.6422000000007</v>
      </c>
      <c r="E56" s="17">
        <f t="shared" si="45"/>
        <v>0.1</v>
      </c>
      <c r="F56" s="10">
        <f t="shared" si="56"/>
        <v>1046.8315000000005</v>
      </c>
      <c r="G56" s="17">
        <f t="shared" si="47"/>
        <v>0.1</v>
      </c>
      <c r="H56" s="14">
        <f t="shared" si="57"/>
        <v>1218.9981081600004</v>
      </c>
      <c r="I56" s="10">
        <f t="shared" si="58"/>
        <v>3027.9387831000013</v>
      </c>
      <c r="J56" s="12">
        <f t="shared" si="59"/>
        <v>0.42769334780000007</v>
      </c>
      <c r="K56" s="16">
        <f t="shared" si="60"/>
        <v>198.12751875000004</v>
      </c>
      <c r="L56" s="15">
        <f t="shared" si="61"/>
        <v>34.259940000000007</v>
      </c>
      <c r="M56" s="22">
        <f t="shared" si="62"/>
        <v>33673.314304000014</v>
      </c>
    </row>
    <row r="57" spans="1:13" x14ac:dyDescent="0.3">
      <c r="A57" s="20" t="s">
        <v>23</v>
      </c>
      <c r="B57" s="25" t="s">
        <v>33</v>
      </c>
      <c r="C57" s="26">
        <f t="shared" si="54"/>
        <v>14380.708134912007</v>
      </c>
      <c r="D57" s="26">
        <f t="shared" si="55"/>
        <v>2483.4064200000012</v>
      </c>
      <c r="E57" s="27">
        <f t="shared" si="45"/>
        <v>0.1</v>
      </c>
      <c r="F57" s="26">
        <f t="shared" si="56"/>
        <v>1151.5146500000005</v>
      </c>
      <c r="G57" s="27">
        <f t="shared" si="47"/>
        <v>0.1</v>
      </c>
      <c r="H57" s="28">
        <f t="shared" si="57"/>
        <v>1316.5179568128005</v>
      </c>
      <c r="I57" s="26">
        <f t="shared" si="58"/>
        <v>3239.8944979170014</v>
      </c>
      <c r="J57" s="29">
        <f t="shared" si="59"/>
        <v>0.4405241482340001</v>
      </c>
      <c r="K57" s="30">
        <f t="shared" si="60"/>
        <v>208.03389468750004</v>
      </c>
      <c r="L57" s="31">
        <f t="shared" si="61"/>
        <v>37.68593400000001</v>
      </c>
      <c r="M57" s="32">
        <f t="shared" si="62"/>
        <v>37714.112020480017</v>
      </c>
    </row>
  </sheetData>
  <phoneticPr fontId="3" type="noConversion"/>
  <pageMargins left="0.7" right="0.7" top="0.75" bottom="0.75" header="0.3" footer="0.3"/>
  <ignoredErrors>
    <ignoredError sqref="C8 C3:C7 C14:C57 D3:M57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Financial Modeling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K R</dc:creator>
  <cp:lastModifiedBy>Nandan K R</cp:lastModifiedBy>
  <dcterms:created xsi:type="dcterms:W3CDTF">2026-07-28T15:28:33Z</dcterms:created>
  <dcterms:modified xsi:type="dcterms:W3CDTF">2026-07-31T12:25:51Z</dcterms:modified>
</cp:coreProperties>
</file>